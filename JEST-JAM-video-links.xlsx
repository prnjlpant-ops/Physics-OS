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amp; Legend" sheetId="1" state="visible" r:id="rId3"/>
    <sheet name="1. Math Methods" sheetId="2" state="visible" r:id="rId4"/>
    <sheet name="2. Mechanics" sheetId="3" state="visible" r:id="rId5"/>
    <sheet name="3. Special Relativity" sheetId="4" state="visible" r:id="rId6"/>
    <sheet name="4. EM Theory" sheetId="5" state="visible" r:id="rId7"/>
    <sheet name="5. Waves &amp; Optics" sheetId="6" state="visible" r:id="rId8"/>
    <sheet name="6. Quantum Mechanics" sheetId="7" state="visible" r:id="rId9"/>
    <sheet name="7. Thermo &amp; StatMech" sheetId="8" state="visible" r:id="rId10"/>
    <sheet name="8. Electronics" sheetId="9" state="visible" r:id="rId11"/>
    <sheet name="9. Atomic Molecular" sheetId="10" state="visible" r:id="rId12"/>
    <sheet name="10. Condensed Matter" sheetId="11" state="visible" r:id="rId13"/>
    <sheet name="11. Nuclear Particle"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<sst xmlns="http://schemas.openxmlformats.org/spreadsheetml/2006/main" count="657" uniqueCount="292">
  <si>
    <t xml:space="preserve">JEST + JAM Video Link Tracker (v4 — full study notes)</t>
  </si>
  <si>
    <t xml:space="preserve">All Pravegaa playlist links are restored as live (confirmed working on your end — my earlier fetch tool gave an unreliable 404 that wasn't a real signal either way, so I'm going with your direct check). Every row's Study Notes column now spells out the full flow: what to watch, which book chapter to pair it with and work problems from, when in the roadmap this falls, and that any equivalent source works just as well if you'd rather study a sub-topic from somewhere else and just use this sheet for the book+timing+PYQ structure around it.</t>
  </si>
  <si>
    <t xml:space="preserve">Legend</t>
  </si>
  <si>
    <t xml:space="preserve">Green fill</t>
  </si>
  <si>
    <t xml:space="preserve">Pravegaa</t>
  </si>
  <si>
    <t xml:space="preserve">Playlist or individual video link.</t>
  </si>
  <si>
    <t xml:space="preserve">Blue fill</t>
  </si>
  <si>
    <t xml:space="preserve">NPTEL</t>
  </si>
  <si>
    <t xml:space="preserve">University course — backup/cross-check, or primary where no Pravegaa link is listed.</t>
  </si>
  <si>
    <t xml:space="preserve">The 4-step study flow used in every row's notes</t>
  </si>
  <si>
    <t xml:space="preserve">1) Watch the linked video(s) — or an equivalent from any teacher/channel you prefer for that sub-topic.  2) Work every problem in the paired book chapter, not just read it.  3) Drill PYQs (JAM / CSIR-NET / JEST, 2012–present) specifically on that sub-topic.  4) Move on only once problems + PYQs feel solid, per the timing given in that row.</t>
  </si>
  <si>
    <t xml:space="preserve">Sheets in this workbook</t>
  </si>
  <si>
    <t xml:space="preserve">1. Math Methods</t>
  </si>
  <si>
    <t xml:space="preserve">2. Mechanics</t>
  </si>
  <si>
    <t xml:space="preserve">3. Special Relativity</t>
  </si>
  <si>
    <t xml:space="preserve">4. EM Theory</t>
  </si>
  <si>
    <t xml:space="preserve">5. Waves &amp; Optics</t>
  </si>
  <si>
    <t xml:space="preserve">6. Quantum Mechanics</t>
  </si>
  <si>
    <t xml:space="preserve">7. Thermo &amp; StatMech</t>
  </si>
  <si>
    <t xml:space="preserve">8. Electronics</t>
  </si>
  <si>
    <t xml:space="preserve">9. Atomic Molecular</t>
  </si>
  <si>
    <t xml:space="preserve">10. Condensed Matter</t>
  </si>
  <si>
    <t xml:space="preserve">11. Nuclear Particle</t>
  </si>
  <si>
    <t xml:space="preserve">Chapter</t>
  </si>
  <si>
    <t xml:space="preserve">Sub-topic</t>
  </si>
  <si>
    <t xml:space="preserve">Roadmap Topic / Phase</t>
  </si>
  <si>
    <t xml:space="preserve">JAM/JEST</t>
  </si>
  <si>
    <t xml:space="preserve">Source</t>
  </si>
  <si>
    <t xml:space="preserve">Link Type</t>
  </si>
  <si>
    <t xml:space="preserve">Video Link</t>
  </si>
  <si>
    <t xml:space="preserve">Study Notes (what to cover, book, timing)</t>
  </si>
  <si>
    <t xml:space="preserve">Vector Calculus &amp; Linear Algebra</t>
  </si>
  <si>
    <t xml:space="preserve">Vector algebra, vector calculus (grad/div/curl, Stokes', divergence theorem)</t>
  </si>
  <si>
    <t xml:space="preserve">Topic 1</t>
  </si>
  <si>
    <t xml:space="preserve">JAM+JEST</t>
  </si>
  <si>
    <t xml:space="preserve">Book only</t>
  </si>
  <si>
    <t xml:space="preserve">N/A</t>
  </si>
  <si>
    <t xml:space="preserve">No dedicated video needed — this is mechanical skill-building. Book: Boas Ch.6, full chapter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 Prioritize problems here over videos; you'll use these identities constantly from here on.</t>
  </si>
  <si>
    <t xml:space="preserve">Matrices — eigenvalues, eigenvectors, diagonalization, Pauli spin matrices</t>
  </si>
  <si>
    <t xml:space="preserve">Direct (playlist)</t>
  </si>
  <si>
    <t xml:space="preserve">Browse this playlist for the Matrices sub-topic specifically — it's mixed in with other math-methods lectures. Book: Boas Ch.3, full chapter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 Checklist to confirm you've covered enough: eigenvalues → eigenvectors → diagonalization → Hermitian/unitary matrices → Pauli spin matrices.</t>
  </si>
  <si>
    <t xml:space="preserve">Linear algebra — alternate source</t>
  </si>
  <si>
    <t xml:space="preserve">NPTEL — Balakrishnan, IIT Madras</t>
  </si>
  <si>
    <t xml:space="preserve">Lectures 1–3 specifically — a cleaner, fully sequenced alternative if the Pravegaa playlist ordering is confusing. Book: Boas Ch.3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</si>
  <si>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Differential Equations &amp; Special Functions</t>
  </si>
  <si>
    <t xml:space="preserve">ODEs — first order through non-homogeneous, linear independence</t>
  </si>
  <si>
    <t xml:space="preserve">Topic 2</t>
  </si>
  <si>
    <t xml:space="preserve">This is JAM's most heavily-tested math sub-topic — watch the full ODE block on this playlist, not a quick pass. Book: Boas Ch.8, full chapter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 Sub-topics to check off: first order/first degree → homogeneous → linear DEs/Bernoulli → exact DEs → coupled &amp; second order → non-homogeneous → linear independence of solutions.</t>
  </si>
  <si>
    <t xml:space="preserve">ODEs — alternate source</t>
  </si>
  <si>
    <t xml:space="preserve">Touches ODE technique early on — use only if you want a second explanation angle. Book: Boas Ch.8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</si>
  <si>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Special functions — Legendre, Bessel, Hermite, Sturm-Liouville</t>
  </si>
  <si>
    <t xml:space="preserve">Bonus #8</t>
  </si>
  <si>
    <t xml:space="preserve">JEST-edge</t>
  </si>
  <si>
    <t xml:space="preserve">Same playlist, later chapter. Book: Boas Ch.12, full chapter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 This is the missing tool behind a fully rigorous hydrogen atom (Topic 13) and angular momentum (Bonus #1) — do it if you want those two to feel complete rather than half-derived.</t>
  </si>
  <si>
    <t xml:space="preserve">Complex Analysis &amp; Residue Theorem</t>
  </si>
  <si>
    <t xml:space="preserve">Complex algebra, Cauchy-Riemann conditions (basic)</t>
  </si>
  <si>
    <t xml:space="preserve">Topic 3</t>
  </si>
  <si>
    <t xml:space="preserve">JAM-partial</t>
  </si>
  <si>
    <t xml:space="preserve">Stop at complex algebra/Cauchy-Riemann for this pass — don't watch the residue-theorem lectures yet. Book: Boas Ch.14, sections 1–4 only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</si>
  <si>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Complex analysis — alternate source</t>
  </si>
  <si>
    <t xml:space="preserve">Lectures 1–4. Book: Boas Ch.14 §1-4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</si>
  <si>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Residue theorem, contour integration, Laurent series (full)</t>
  </si>
  <si>
    <t xml:space="preserve">Bonus #4</t>
  </si>
  <si>
    <t xml:space="preserve">Same playlist, later chapter — appears in almost every CSIR-NET paper, so a full watch-through is justified. Book: Boas Ch.14, remaining sections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 This is a recurring tool inside QM, EM, and stat mech problems, not just a standalone chapter — probably the single best 'solves problems elsewhere' pickup on the whole bonus list.</t>
  </si>
  <si>
    <t xml:space="preserve">Fourier &amp; Laplace Transforms</t>
  </si>
  <si>
    <t xml:space="preserve">Fourier Series — Lecture 1 (Introduction, full series)</t>
  </si>
  <si>
    <t xml:space="preserve">Topic 4</t>
  </si>
  <si>
    <t xml:space="preserve">Direct (video)</t>
  </si>
  <si>
    <t xml:space="preserve">Individually confirmed — Lecture 1 of 4. Book: Boas Ch.7, Fourier series sections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</si>
  <si>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Fourier Series — Lecture 2</t>
  </si>
  <si>
    <t xml:space="preserve">Individually confirmed — Lecture 2 of 4. Book: Boas Ch.7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</si>
  <si>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Fourier Series — Lecture 3 (half-range expansions)</t>
  </si>
  <si>
    <t xml:space="preserve">Individually confirmed — Lecture 3 of 4. Book: Boas Ch.7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</si>
  <si>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Fourier Series — Lecture 4 (Bessel's inequality, Parseval's identity, complex Fourier series)</t>
  </si>
  <si>
    <t xml:space="preserve">Individually confirmed — Lecture 4 of 4, the complete set. Book: Boas Ch.7 — work every problem in that section, not just read it. Once the concept + problems are solid, drill PYQs (JAM / CSIR-NET / JEST, 2012–present) on this exact sub-topic before moving on. Timing: Phase A — by early Oct (math methods is foundational, do it first).. Any other teacher/channel covering the same sub-topic works just as well — the book problems and PYQ practice matter more than which video source you use.</t>
  </si>
  <si>
    <t xml:space="preserve">Fourier Transform, Laplace Transform, Dirac Delta Function</t>
  </si>
  <si>
    <t xml:space="preserve">Bonus #9</t>
  </si>
  <si>
    <t xml:space="preserve">Same playlist, later chapters — all three are separate sections on it. Book: Boas Ch.7 (Fourier transform) + Ch.8 (Laplace)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</si>
  <si>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Tensor &amp; Curvilinear Coordinates</t>
  </si>
  <si>
    <t xml:space="preserve">Tensors, curvilinear coordinate systems</t>
  </si>
  <si>
    <t xml:space="preserve">Phase B – Tier 2</t>
  </si>
  <si>
    <t xml:space="preserve">JEST-only</t>
  </si>
  <si>
    <t xml:space="preserve">Short topic either way — same playlist covers it. Book: Boas Ch.10 + Arfken Ch.2-3 — work every problem in that section, not just read it. Once the concept + problems are solid, drill PYQs (JAM / CSIR-NET / JEST, 2012–present) on this exact sub-topic before moving on. Timing: Phase B, Tier 2 — post-JAM, only if Tier 1 is finished with time to spare.. Any other teacher/channel covering the same sub-topic works just as well — the book problems and PYQ practice matter more than which video source you use.</t>
  </si>
  <si>
    <t xml:space="preserve">Probability &amp; Error Analysis</t>
  </si>
  <si>
    <t xml:space="preserve">Probability &amp; statistics, numerical methods / error analysis</t>
  </si>
  <si>
    <t xml:space="preserve">Bonus #11</t>
  </si>
  <si>
    <t xml:space="preserve">Numerical Methods is a genuinely separate chapter on this playlist — this is the calculator-free fluency JEST specifically demands. Book: Boas Ch.15, full chapter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 Fold this into your PYQ practice going forward rather than treating it as a one-off topic — JEST doesn't allow calculators.</t>
  </si>
  <si>
    <t xml:space="preserve">Group Theory</t>
  </si>
  <si>
    <t xml:space="preserve">Elementary properties of discrete groups</t>
  </si>
  <si>
    <t xml:space="preserve">Shortest topic in the whole syllabus — a couple of hours either way. Book: Arfken Ch.4 — work every problem in that section, not just read it. Once the concept + problems are solid, drill PYQs (JAM / CSIR-NET / JEST, 2012–present) on this exact sub-topic before moving on. Timing: Phase B, Tier 2 — post-JAM, only if Tier 1 is finished with time to spare.. Any other teacher/channel covering the same sub-topic works just as well — the book problems and PYQ practice matter more than which video source you use.</t>
  </si>
  <si>
    <t xml:space="preserve">Newtonian Mechanics</t>
  </si>
  <si>
    <t xml:space="preserve">Newton's laws, conservation laws, collisions</t>
  </si>
  <si>
    <t xml:space="preserve">Topic 5</t>
  </si>
  <si>
    <t xml:space="preserve">Browse for the Newtonian-mechanics opening lectures on this playlist. Book: Kleppner &amp; Kolenkow, full relevant chapters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t>
  </si>
  <si>
    <t xml:space="preserve">Newtonian mechanics — alternate source</t>
  </si>
  <si>
    <t xml:space="preserve">Lectures 1–10 of 38. Book: Kleppner &amp; Kolenkow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t>
  </si>
  <si>
    <t xml:space="preserve">Lagrangian &amp; Hamiltonian Mechanics</t>
  </si>
  <si>
    <t xml:space="preserve">Generalized coordinates, Lagrangian formulation, Hamiltonian formulation</t>
  </si>
  <si>
    <t xml:space="preserve">Topic 6</t>
  </si>
  <si>
    <t xml:space="preserve">This is the conceptual core of classical mechanics — watch this block fully, don't skim. Book: Goldstein Ch.1–2 (Lagrangian) + Ch.8 up to Hamilton's equations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 Skip Hamilton-Jacobi theory — beyond both exams.</t>
  </si>
  <si>
    <t xml:space="preserve">Lagrangian/Hamiltonian — alternate source</t>
  </si>
  <si>
    <t xml:space="preserve">Roughly lectures 11–19. Book: Goldstein Ch.1-2, 8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t>
  </si>
  <si>
    <t xml:space="preserve">Central Force Problem</t>
  </si>
  <si>
    <t xml:space="preserve">Central force problem, Kepler problem</t>
  </si>
  <si>
    <t xml:space="preserve">Topic 7</t>
  </si>
  <si>
    <t xml:space="preserve">Near-guaranteed problem type — deriving Kepler's laws from the Lagrangian. Book: Goldstein, central force chapter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t>
  </si>
  <si>
    <t xml:space="preserve">Central force — alternate source</t>
  </si>
  <si>
    <t xml:space="preserve">2–3 lectures near the Topic 6 range. Book: Goldstein central force ch — work every problem in that section, not just read it. Once the concept + problems are solid, drill PYQs (JAM / CSIR-NET / JEST, 2012–present) on this exact sub-topic before moving on. Timing: Phase A — by early Oct.. Any other teacher/channel covering the same sub-topic works just as well — the book problems and PYQ practice matter more than which video source you use.</t>
  </si>
  <si>
    <t xml:space="preserve">Small Oscillations</t>
  </si>
  <si>
    <t xml:space="preserve">Small oscillations &amp; normal modes</t>
  </si>
  <si>
    <t xml:space="preserve">Bonus #7</t>
  </si>
  <si>
    <t xml:space="preserve">Uses the same eigenvalue machinery as Topic 1 — cheap to add once that's solid. Book: Goldstein, small oscillations chapter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</si>
  <si>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Small oscillations — alternate source</t>
  </si>
  <si>
    <t xml:space="preserve">2–3 lectures near Topics 6–7. Book: Goldstein small osc ch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</si>
  <si>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Rigid Body Dynamics</t>
  </si>
  <si>
    <t xml:space="preserve">Rigid body dynamics (light JEST relevance, not core-tagged)</t>
  </si>
  <si>
    <t xml:space="preserve">Supplemental</t>
  </si>
  <si>
    <t xml:space="preserve">JEST-only (low)</t>
  </si>
  <si>
    <t xml:space="preserve">Only pick this up if genuinely ahead — not core-tagged in this roadmap. Book: Goldstein, rigid body chapter — work every problem in that section, not just read it. Once the concept + problems are solid, drill PYQs (JAM / CSIR-NET / JEST, 2012–present) on this exact sub-topic before moving on. Timing: Phase B, Tier 3 — post-JAM, cut this first if JEST lands in March; attempt only if genuinely ahead.. Any other teacher/channel covering the same sub-topic works just as well — the book problems and PYQ practice matter more than which video source you use.</t>
  </si>
  <si>
    <t xml:space="preserve">Special Relativity — Basics</t>
  </si>
  <si>
    <t xml:space="preserve">Postulates, kinematics, velocity addition, mass-energy equivalence</t>
  </si>
  <si>
    <t xml:space="preserve">Topic 8</t>
  </si>
  <si>
    <t xml:space="preserve">NPTEL — Shiva Prasad, IIT Bombay</t>
  </si>
  <si>
    <t xml:space="preserve">Lectures 1–8. Just the postulates + kinematics + E=mc² level — stop before 4-vector formalism. Book: Any standard Modern Physics chapter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</si>
  <si>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Special Relativity — Full Treatment</t>
  </si>
  <si>
    <t xml:space="preserve">4-vectors, relativistic Lagrangian, relativistic dynamics</t>
  </si>
  <si>
    <t xml:space="preserve">Bonus #6</t>
  </si>
  <si>
    <t xml:space="preserve">From lecture ~8 onward, 6–8 more lectures. Book: Goldstein's relativity chapter (4-vectors, relativistic Lagrangian)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</si>
  <si>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Electrostatics &amp; Magnetostatics — Basics</t>
  </si>
  <si>
    <t xml:space="preserve">Coulomb's law, Gauss's law, basic magnetostatics/Ampère's law</t>
  </si>
  <si>
    <t xml:space="preserve">Topic 9</t>
  </si>
  <si>
    <t xml:space="preserve">Skip boundary value problems/multipole for this pass. Book: Griffiths Ch.2–3 (electrostatics), Ch.5 (magnetostatics)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</si>
  <si>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Basics — alternate source</t>
  </si>
  <si>
    <t xml:space="preserve">NPTEL — D.K. Ghosh, IIT Bombay</t>
  </si>
  <si>
    <t xml:space="preserve">First ~8–10 lectures. Book: Griffiths Ch.2-3, 5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</si>
  <si>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Boundary Value Problems</t>
  </si>
  <si>
    <t xml:space="preserve">Boundary value problems, method of images, multipole expansion</t>
  </si>
  <si>
    <t xml:space="preserve">Bonus #3</t>
  </si>
  <si>
    <t xml:space="preserve">The single highest-rated EM chapter by weightage — do this right after Topic 9 if on pace. Book: Griffiths Ch.3 (boundary value/images), Ch.3.4 (multipole), Ch.4 (dielectrics), Ch.6 (magnetic materials)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</si>
  <si>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Boundary value problems — alternate source</t>
  </si>
  <si>
    <t xml:space="preserve">Continue ~5 lectures. Book: Griffiths Ch.3-4, 6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</si>
  <si>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Faraday's Law &amp; Maxwell's Equations</t>
  </si>
  <si>
    <t xml:space="preserve">Faraday's law, displacement current, Maxwell's equations &amp; gauges</t>
  </si>
  <si>
    <t xml:space="preserve">Topic 10</t>
  </si>
  <si>
    <t xml:space="preserve">Core to both exams — full depth. Book: Griffiths Ch.7, up to Maxwell's equations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</si>
  <si>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Maxwell's equations — alternate source</t>
  </si>
  <si>
    <t xml:space="preserve">~5–6 lectures, mid-playlist. Book: Griffiths Ch.7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</si>
  <si>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EM Wave Propagation</t>
  </si>
  <si>
    <t xml:space="preserve">Plane EM waves, reflection, refraction (normal incidence)</t>
  </si>
  <si>
    <t xml:space="preserve">Topic 11</t>
  </si>
  <si>
    <t xml:space="preserve">Stop after normal-incidence reflection/transmission — oblique incidence is Phase B. Book: Griffiths Ch.9, up through normal-incidence reflection/transmission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</si>
  <si>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EM waves — alternate source</t>
  </si>
  <si>
    <t xml:space="preserve">~4–5 lectures. Book: Griffiths Ch.9 (partial)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</si>
  <si>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EM Waves in Media</t>
  </si>
  <si>
    <t xml:space="preserve">EM waves in dispersive and conducting media</t>
  </si>
  <si>
    <t xml:space="preserve">Phase B – Tier 1</t>
  </si>
  <si>
    <t xml:space="preserve">Continue from where Topic 11 stopped. Book: Griffiths Ch.9, remaining sections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</si>
  <si>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Dispersive/conducting media — alternate source</t>
  </si>
  <si>
    <t xml:space="preserve">3–4 lectures continuing from Topic 11. Book: Griffiths Ch.9 remaining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</si>
  <si>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Energy &amp; Momentum of EM Fields</t>
  </si>
  <si>
    <t xml:space="preserve">Poynting vector, Maxwell stress tensor, radiation</t>
  </si>
  <si>
    <t xml:space="preserve"> Book: Griffiths Ch.8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</si>
  <si>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Poynting vector — alternate source</t>
  </si>
  <si>
    <t xml:space="preserve">2–3 lectures. Book: Griffiths Ch.8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</si>
  <si>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SHM &amp; Damped Oscillations</t>
  </si>
  <si>
    <t xml:space="preserve">Simple harmonic motion, damped/driven oscillations</t>
  </si>
  <si>
    <t xml:space="preserve">Supplemental (feeds Topic 6/7)</t>
  </si>
  <si>
    <t xml:space="preserve">NPTEL — M.S. Santhanam, IIT Madras</t>
  </si>
  <si>
    <t xml:space="preserve">General wave course — this feeds directly into Topics 6/7's oscillation problems. Book: Any standard mechanics/waves chapter covering SHM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</si>
  <si>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Coupled Oscillations &amp; Normal Modes</t>
  </si>
  <si>
    <t xml:space="preserve">Coupled oscillators, normal modes</t>
  </si>
  <si>
    <t xml:space="preserve">Bonus #7 (dup)</t>
  </si>
  <si>
    <t xml:space="preserve">Duplicate of the Mechanics sheet's Bonus #7 — do it once, from whichever source you prefer. Book: Goldstein, small oscillations chapter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</si>
  <si>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Wave Propagation &amp; Dispersion</t>
  </si>
  <si>
    <t xml:space="preserve">Wave equation, phase/group velocity, dispersion</t>
  </si>
  <si>
    <t xml:space="preserve"> Book: Any standard waves chapter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</si>
  <si>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Interference &amp; Diffraction</t>
  </si>
  <si>
    <t xml:space="preserve">Interference, single/double-slit diffraction</t>
  </si>
  <si>
    <t xml:space="preserve">Topic 12</t>
  </si>
  <si>
    <t xml:space="preserve">General wave course — skim titles for the interference/diffraction block specifically rather than starting from lecture 1. Book: Hecht (optics) + Griffiths' brief coverage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</si>
  <si>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Polarisation of Light</t>
  </si>
  <si>
    <t xml:space="preserve">Polarisation — linear, circular, elliptical; Malus's law</t>
  </si>
  <si>
    <t xml:space="preserve"> Book: Hecht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</si>
  <si>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Geometrical Optics</t>
  </si>
  <si>
    <t xml:space="preserve">Geometrical optics — lenses, mirrors, optical instruments</t>
  </si>
  <si>
    <t xml:space="preserve">Topic 12 (light touch)</t>
  </si>
  <si>
    <t xml:space="preserve">Light touch only — low weightage relative to interference/diffraction. Book: Hecht — work every problem in that section, not just read it. Once the concept + problems are solid, drill PYQs (JAM / CSIR-NET / JEST, 2012–present) on this exact sub-topic before moving on. Timing: Phase A — by mid-Dec.. Any other teacher/channel covering the same sub-topic works just as well — the book problems and PYQ practice matter more than which video source you use.</t>
  </si>
  <si>
    <t xml:space="preserve">Schrödinger Equation &amp; 1D Problems</t>
  </si>
  <si>
    <t xml:space="preserve">Schrödinger equation, particle in a box, harmonic oscillator</t>
  </si>
  <si>
    <t xml:space="preserve">Topic 13</t>
  </si>
  <si>
    <t xml:space="preserve">QM is the single highest-weightage subject in both exams — budget real time here. Book: Griffiths QM Ch.1–2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</si>
  <si>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1D QM — alternate source</t>
  </si>
  <si>
    <t xml:space="preserve">Roughly lectures 4–20 cover this through hydrogen atom. Book: Griffiths QM Ch.1-2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</si>
  <si>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Central Potentials &amp; Hydrogen Atom</t>
  </si>
  <si>
    <t xml:space="preserve">3D Schrödinger equation, central potentials, hydrogen atom</t>
  </si>
  <si>
    <t xml:space="preserve"> Book: Griffiths QM Ch.4, up to the radial equation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</si>
  <si>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Angular Momentum &amp; Spin</t>
  </si>
  <si>
    <t xml:space="preserve">Addition of angular momenta, Clebsch-Gordan coefficients</t>
  </si>
  <si>
    <t xml:space="preserve">Bonus #1</t>
  </si>
  <si>
    <t xml:space="preserve">Highest-rated combined QM chapter by weightage — directly extends Topic 13. Book: Zettili (stronger problem coverage than Griffiths here)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</si>
  <si>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Angular momentum — alternate source</t>
  </si>
  <si>
    <t xml:space="preserve">Continue ~5–6 lectures past Topic 13. Book: Zettili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</si>
  <si>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Matrix Formulation of QM</t>
  </si>
  <si>
    <t xml:space="preserve">Operators, Hermitian/unitary transformations, matrix mechanics</t>
  </si>
  <si>
    <t xml:space="preserve">Bonus #2</t>
  </si>
  <si>
    <t xml:space="preserve">Check your notes first — may already be substantially covered if Topic 13 was done via this same playlist. Book: Griffiths QM Ch.3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</si>
  <si>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Perturbation Theory &amp; Variational Principle</t>
  </si>
  <si>
    <t xml:space="preserve">Time-independent perturbation theory, variational method</t>
  </si>
  <si>
    <t xml:space="preserve">Bonus #10</t>
  </si>
  <si>
    <t xml:space="preserve"> Book: Griffiths QM Ch.6–9, + Zettili for more problems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</si>
  <si>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Perturbation theory — alternate source</t>
  </si>
  <si>
    <t xml:space="preserve">NPTEL — S. Lakshmi Bala, IIT Madras</t>
  </si>
  <si>
    <t xml:space="preserve">Search within this playlist for the perturbation-theory lectures specifically. Book: Griffiths QM Ch.6-9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</si>
  <si>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Scattering Theory</t>
  </si>
  <si>
    <t xml:space="preserve">Born approximation, partial waves</t>
  </si>
  <si>
    <t xml:space="preserve">Phase B – Tier 3</t>
  </si>
  <si>
    <t xml:space="preserve">Rare but difficult — lowest priority in QM; check the later chapters of this playlist. Book: Griffiths QM or Zettili, scattering chapter — work every problem in that section, not just read it. Once the concept + problems are solid, drill PYQs (JAM / CSIR-NET / JEST, 2012–present) on this exact sub-topic before moving on. Timing: Phase B, Tier 3 — post-JAM, cut this first if JEST lands in March; attempt only if genuinely ahead.. Any other teacher/channel covering the same sub-topic works just as well — the book problems and PYQ practice matter more than which video source you use.</t>
  </si>
  <si>
    <t xml:space="preserve">Thermodynamics &amp; Kinetic Theory</t>
  </si>
  <si>
    <t xml:space="preserve">Laws of thermodynamics, thermodynamic potentials, Maxwell's relations, kinetic theory</t>
  </si>
  <si>
    <t xml:space="preserve">Topic 14</t>
  </si>
  <si>
    <t xml:space="preserve"> Book: Garg, Bansal, Ghosh — thermodynamics + kinetic theory chapters, full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</si>
  <si>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Thermodynamics — alternate source</t>
  </si>
  <si>
    <t xml:space="preserve">NPTEL — Girish Setlur, IIT Guwahati</t>
  </si>
  <si>
    <t xml:space="preserve">First ~8–10 lectures. Book: Garg, Bansal, Ghosh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</si>
  <si>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Classical &amp; Quantum Statistics</t>
  </si>
  <si>
    <t xml:space="preserve">Maxwell-Boltzmann, Fermi-Dirac, Bose-Einstein — basic definitions</t>
  </si>
  <si>
    <t xml:space="preserve">Topic 15</t>
  </si>
  <si>
    <t xml:space="preserve">Definitions and basic properties only — stop before full partition-function derivations. Book: Garg, Bansal, Ghosh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</si>
  <si>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Statistics basics — alternate source</t>
  </si>
  <si>
    <t xml:space="preserve">~3–4 lectures. Book: Garg, Bansal, Ghosh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</si>
  <si>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Black Body Radiation</t>
  </si>
  <si>
    <t xml:space="preserve">Planck's law, Wien's law, Stefan-Boltzmann law</t>
  </si>
  <si>
    <t xml:space="preserve">Topic 16</t>
  </si>
  <si>
    <t xml:space="preserve"> Book: Garg, Bansal, Ghosh or any Modern Physics chapter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</si>
  <si>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Black body radiation — alternate source</t>
  </si>
  <si>
    <t xml:space="preserve">1–2 lectures. Book: Garg, Bansal, Ghosh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</si>
  <si>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Statistical Ensembles</t>
  </si>
  <si>
    <t xml:space="preserve">Full partition-function derivation, Fermi/Bose gas applications, paramagnetism</t>
  </si>
  <si>
    <t xml:space="preserve">Bonus #5</t>
  </si>
  <si>
    <t xml:space="preserve">Blueprint rank #3 high-yield chapter — strong JAM+JEST overlap on the underlying concepts. Book: Garg, Bansal, Ghosh + F. Reif for deeper ensemble theory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</si>
  <si>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Ensembles — alternate source</t>
  </si>
  <si>
    <t xml:space="preserve">Continue ~6–8 lectures. Book: Garg, Bansal, Ghosh + Reif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t>
  </si>
  <si>
    <t xml:space="preserve">Phase Transitions</t>
  </si>
  <si>
    <t xml:space="preserve">Phase transitions and critical phenomena</t>
  </si>
  <si>
    <t xml:space="preserve">Rare but difficult — lowest priority in this subject; check the later chapters of this playlist. Book: Garg, Bansal, Ghosh or Pathria (Statistical Mechanics) — work every problem in that section, not just read it. Once the concept + problems are solid, drill PYQs (JAM / CSIR-NET / JEST, 2012–present) on this exact sub-topic before moving on. Timing: Phase B, Tier 3 — post-JAM, cut this first if JEST lands in March; attempt only if genuinely ahead.. Any other teacher/channel covering the same sub-topic works just as well — the book problems and PYQ practice matter more than which video source you use.</t>
  </si>
  <si>
    <t xml:space="preserve">Semiconductor Devices</t>
  </si>
  <si>
    <t xml:space="preserve">Semiconductor basics, p-n junctions, diodes, transistors</t>
  </si>
  <si>
    <t xml:space="preserve">Topic 17</t>
  </si>
  <si>
    <t xml:space="preserve"> Book: Millman &amp; Halkias — semiconductor, diode, BJT chapters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</si>
  <si>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Semiconductor devices — alternate source</t>
  </si>
  <si>
    <t xml:space="preserve">NPTEL — D.C. Dube, IIT Delhi</t>
  </si>
  <si>
    <t xml:space="preserve">Confirmed structure: Lec 1–4 diodes, Lec 5–10 transistors/biasing. Book: Millman &amp; Halkias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</si>
  <si>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Circuits &amp; Digital Electronics</t>
  </si>
  <si>
    <t xml:space="preserve">LCR circuits, rectifiers, amplifiers, OPAMPs, basic digital logic</t>
  </si>
  <si>
    <t xml:space="preserve">Topic 18</t>
  </si>
  <si>
    <t xml:space="preserve"> Book: Millman &amp; Halkias circuits/rectifier/op-amp chapters; a standard digital logic chapter for gates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</si>
  <si>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Circuits — alternate source</t>
  </si>
  <si>
    <t xml:space="preserve">Confirmed: amplifiers from ~Lec 11, FET/MOSFET ~Lec 22, op-amps toward the end. Book: Millman &amp; Halkias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</si>
  <si>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Active Filters &amp; Oscillators</t>
  </si>
  <si>
    <t xml:space="preserve">Active filter design, oscillator circuits</t>
  </si>
  <si>
    <t xml:space="preserve">Moderate frequency/difficulty, but a steady scorer once you're there. Book: Millman &amp; Halkias, remaining circuit-design sections — work every problem in that section, not just read it. Once the concept + problems are solid, drill PYQs (JAM / CSIR-NET / JEST, 2012–present) on this exact sub-topic before moving on. Timing: Phase B, Tier 2 — post-JAM, only if Tier 1 is finished with time to spare.. Any other teacher/channel covering the same sub-topic works just as well — the book problems and PYQ practice matter more than which video source you use.</t>
  </si>
  <si>
    <t xml:space="preserve">Active filters — alternate source</t>
  </si>
  <si>
    <t xml:space="preserve">Final weeks of the course, after op-amps. Book: Millman &amp; Halkias — work every problem in that section, not just read it. Once the concept + problems are solid, drill PYQs (JAM / CSIR-NET / JEST, 2012–present) on this exact sub-topic before moving on. Timing: Phase B, Tier 2 — post-JAM, only if Tier 1 is finished with time to spare.. Any other teacher/channel covering the same sub-topic works just as well — the book problems and PYQ practice matter more than which video source you use.</t>
  </si>
  <si>
    <t xml:space="preserve">Error Analysis &amp; Experimental Methods</t>
  </si>
  <si>
    <t xml:space="preserve">Error propagation, uncertainty analysis, calculator-free numerical fluency</t>
  </si>
  <si>
    <t xml:space="preserve">NPTEL — Amal Kumar Das, IIT Kharagpur</t>
  </si>
  <si>
    <t xml:space="preserve">First ~4–5 lectures. JEST doesn't allow calculators. Book: No single book chapter — build this into your PYQ practice directly — work every problem in that section, not just read it. Once the concept + problems are solid, drill PYQs (JAM / CSIR-NET / JEST, 2012–present) on this exact sub-topic before moving on. Timing: Phase A-Bonus — only tackle this if Topics 1–20 are fully done ahead of Jan 20. Don't start this while core topics are still shaky.. Any other teacher/channel covering the same sub-topic works just as well — the book problems and PYQ practice matter more than which video source you use. Companion to the Math Methods sheet's Numerical Methods entry — do both together.</t>
  </si>
  <si>
    <t xml:space="preserve">Basic Atomic Structure</t>
  </si>
  <si>
    <t xml:space="preserve">Bohr model and its limitations, basic atomic structure</t>
  </si>
  <si>
    <t xml:space="preserve">Topic 20 (atomic half)</t>
  </si>
  <si>
    <t xml:space="preserve">First ~6–8 lectures. Book: Arthur Beiser, Concepts of Modern Physics — Bohr model and its limitations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</si>
  <si>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Atomic Spectra &amp; Fine Structure</t>
  </si>
  <si>
    <t xml:space="preserve">Term symbols, fine structure, selection rules</t>
  </si>
  <si>
    <t xml:space="preserve">Continue ~6–8 lectures. Book: Beiser or a standard Atomic Physics chapter, in more depth than the Phase A pass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</si>
  <si>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Crystal Structure &amp; Basic Band Theory</t>
  </si>
  <si>
    <t xml:space="preserve">Crystal structure, reciprocal lattice, Bragg condition, intro band theory</t>
  </si>
  <si>
    <t xml:space="preserve">Topic 19</t>
  </si>
  <si>
    <t xml:space="preserve">First ~10 lectures. Stop before phonon dispersion and deep band-structure derivations. Book: Kittel, Introduction to Solid State Physics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</si>
  <si>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Advanced Solid State</t>
  </si>
  <si>
    <t xml:space="preserve">Band theory depth, phonon/lattice dispersion</t>
  </si>
  <si>
    <t xml:space="preserve">Continue ~10–12 lectures from Topic 19. One of the few chapters that meaningfully separates a strong JEST rank from an average one. Book: Kittel, remaining chapters — work every problem in that section, not just read it. Once the concept + problems are solid, drill PYQs (JAM / CSIR-NET / JEST, 2012–present) on this exact sub-topic before moving on. Timing: Phase B, Tier 1 — post-JAM, do this first regardless of how much time Phase B ends up having.. Any other teacher/channel covering the same sub-topic works just as well — the book problems and PYQ practice matter more than which video source you use.</t>
  </si>
  <si>
    <t xml:space="preserve">Nuclear Models &amp; Radioactivity</t>
  </si>
  <si>
    <t xml:space="preserve">Liquid drop model, shell model basics, radioactive decay law</t>
  </si>
  <si>
    <t xml:space="preserve">Topic 20 (nuclear half)</t>
  </si>
  <si>
    <t xml:space="preserve">NPTEL — P. Poulose, IIT Guwahati</t>
  </si>
  <si>
    <t xml:space="preserve">First ~6 lectures. Book: Beiser, nuclear models (liquid drop, shell model basics), radioactive decay law — work every problem in that section, not just read it. Once the concept + problems are solid, drill PYQs (JAM / CSIR-NET / JEST, 2012–present) on this exact sub-topic before moving on. Timing: Phase A — by Jan 20 hard stop (this is late-Phase-A material).. Any other teacher/channel covering the same sub-topic works just as well — the book problems and PYQ practice matter more than which video source you use.</t>
  </si>
  <si>
    <t xml:space="preserve">Nuclear Models Depth</t>
  </si>
  <si>
    <t xml:space="preserve">Decay chains, nuclear models in more depth</t>
  </si>
  <si>
    <t xml:space="preserve">Continue ~5–6 lectures. Book: Beiser, remaining nuclear physics sections — work every problem in that section, not just read it. Once the concept + problems are solid, drill PYQs (JAM / CSIR-NET / JEST, 2012–present) on this exact sub-topic before moving on. Timing: Phase B, Tier 2 — post-JAM, only if Tier 1 is finished with time to spare.. Any other teacher/channel covering the same sub-topic works just as well — the book problems and PYQ practice matter more than which video source you use.</t>
  </si>
  <si>
    <t xml:space="preserve">Particle Physics Basics</t>
  </si>
  <si>
    <t xml:space="preserve">Conservation laws, basic Standard Model concepts</t>
  </si>
  <si>
    <t xml:space="preserve">Lowest priority on the whole roadmap — last few lectures of the course, attempt only if genuinely ahead. Book: Beiser's particle physics chapter, or a concise notes summary — work every problem in that section, not just read it. Once the concept + problems are solid, drill PYQs (JAM / CSIR-NET / JEST, 2012–present) on this exact sub-topic before moving on. Timing: Phase B, Tier 3 — post-JAM, cut this first if JEST lands in March; attempt only if genuinely ahead.. Any other teacher/channel covering the same sub-topic works just as well — the book problems and PYQ practice matter more than which video source you use.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</si>
</sst>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Cambria"/>
      <family val="0"/>
      <charset val="1"/>
    </font>
    <font>
      <sz val="10"/>
      <name val="Arial"/>
      <family val="0"/>
      <charset val="1"/>
    </font>
    <font>
      <b val="true"/>
      <sz val="10"/>
      <color rgb="FFFFFF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E2EFDA"/>
        <bgColor rgb="FFDDEBF7"/>
      </patternFill>
    </fill>
    <fill>
      <patternFill patternType="solid">
        <fgColor rgb="FFDDEBF7"/>
        <bgColor rgb="FFE2EFDA"/>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6"/>
    <col collapsed="false" customWidth="true" hidden="false" outlineLevel="0" max="3" min="3" style="0" width="70"/>
  </cols>
  <sheetData>
    <row r="1" customFormat="false" ht="17.35" hidden="false" customHeight="false" outlineLevel="0" collapsed="false">
      <c r="A1" s="1" t="s">
        <v>0</v>
      </c>
    </row>
    <row r="3" customFormat="false" ht="90" hidden="false" customHeight="true" outlineLevel="0" collapsed="false">
      <c r="A3" s="2" t="s">
        <v>1</v>
      </c>
      <c r="B3" s="2"/>
      <c r="C3" s="2"/>
      <c r="D3" s="2"/>
      <c r="E3" s="2"/>
      <c r="F3" s="2"/>
    </row>
    <row r="6" customFormat="false" ht="15" hidden="false" customHeight="false" outlineLevel="0" collapsed="false">
      <c r="A6" s="3" t="s">
        <v>2</v>
      </c>
    </row>
    <row r="7" customFormat="false" ht="15" hidden="false" customHeight="false" outlineLevel="0" collapsed="false">
      <c r="A7" s="4" t="s">
        <v>3</v>
      </c>
      <c r="B7" s="5" t="s">
        <v>4</v>
      </c>
      <c r="C7" s="5" t="s">
        <v>5</v>
      </c>
    </row>
    <row r="8" customFormat="false" ht="15" hidden="false" customHeight="false" outlineLevel="0" collapsed="false">
      <c r="A8" s="6" t="s">
        <v>6</v>
      </c>
      <c r="B8" s="5" t="s">
        <v>7</v>
      </c>
      <c r="C8" s="5" t="s">
        <v>8</v>
      </c>
    </row>
    <row r="10" customFormat="false" ht="15" hidden="false" customHeight="false" outlineLevel="0" collapsed="false">
      <c r="A10" s="3" t="s">
        <v>9</v>
      </c>
    </row>
    <row r="11" customFormat="false" ht="69.75" hidden="false" customHeight="true" outlineLevel="0" collapsed="false">
      <c r="A11" s="2" t="s">
        <v>10</v>
      </c>
      <c r="B11" s="2"/>
      <c r="C11" s="2"/>
      <c r="D11" s="2"/>
      <c r="E11" s="2"/>
      <c r="F11" s="2"/>
    </row>
    <row r="14" customFormat="false" ht="15" hidden="false" customHeight="false" outlineLevel="0" collapsed="false">
      <c r="A14" s="3" t="s">
        <v>11</v>
      </c>
    </row>
    <row r="15" customFormat="false" ht="15" hidden="false" customHeight="false" outlineLevel="0" collapsed="false">
      <c r="A15" s="5" t="s">
        <v>12</v>
      </c>
    </row>
    <row r="16" customFormat="false" ht="15" hidden="false" customHeight="false" outlineLevel="0" collapsed="false">
      <c r="A16" s="5" t="s">
        <v>13</v>
      </c>
    </row>
    <row r="17" customFormat="false" ht="15" hidden="false" customHeight="false" outlineLevel="0" collapsed="false">
      <c r="A17" s="5" t="s">
        <v>14</v>
      </c>
    </row>
    <row r="18" customFormat="false" ht="15" hidden="false" customHeight="false" outlineLevel="0" collapsed="false">
      <c r="A18" s="5" t="s">
        <v>15</v>
      </c>
    </row>
    <row r="19" customFormat="false" ht="15" hidden="false" customHeight="false" outlineLevel="0" collapsed="false">
      <c r="A19" s="5" t="s">
        <v>16</v>
      </c>
    </row>
    <row r="20" customFormat="false" ht="15" hidden="false" customHeight="false" outlineLevel="0" collapsed="false">
      <c r="A20" s="5" t="s">
        <v>17</v>
      </c>
    </row>
    <row r="21" customFormat="false" ht="15" hidden="false" customHeight="false" outlineLevel="0" collapsed="false">
      <c r="A21" s="5" t="s">
        <v>18</v>
      </c>
    </row>
    <row r="22" customFormat="false" ht="15" hidden="false" customHeight="false" outlineLevel="0" collapsed="false">
      <c r="A22" s="5" t="s">
        <v>19</v>
      </c>
    </row>
    <row r="23" customFormat="false" ht="15" hidden="false" customHeight="false" outlineLevel="0" collapsed="false">
      <c r="A23" s="5" t="s">
        <v>20</v>
      </c>
    </row>
    <row r="24" customFormat="false" ht="15" hidden="false" customHeight="false" outlineLevel="0" collapsed="false">
      <c r="A24" s="5" t="s">
        <v>21</v>
      </c>
    </row>
    <row r="25" customFormat="false" ht="15" hidden="false" customHeight="false" outlineLevel="0" collapsed="false">
      <c r="A25" s="5" t="s">
        <v>22</v>
      </c>
    </row>
  </sheetData>
  <mergeCells count="2">
    <mergeCell ref="A3:F3"/>
    <mergeCell ref="A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102.2" hidden="false" customHeight="false" outlineLevel="0" collapsed="false">
      <c r="A2" s="8" t="s">
        <v>31</v>
      </c>
      <c r="B2" s="8" t="s">
        <v>32</v>
      </c>
      <c r="C2" s="8" t="s">
        <v>33</v>
      </c>
      <c r="D2" s="8" t="s">
        <v>34</v>
      </c>
      <c r="E2" s="8" t="s">
        <v>35</v>
      </c>
      <c r="F2" s="8" t="s">
        <v>36</v>
      </c>
      <c r="G2" s="8"/>
      <c r="H2" s="8" t="s">
        <v>37</v>
      </c>
    </row>
    <row r="3" customFormat="false" ht="113.4" hidden="false" customHeight="false" outlineLevel="0" collapsed="false">
      <c r="A3" s="9" t="s">
        <v>31</v>
      </c>
      <c r="B3" s="9" t="s">
        <v>38</v>
      </c>
      <c r="C3" s="9" t="s">
        <v>33</v>
      </c>
      <c r="D3" s="9" t="s">
        <v>34</v>
      </c>
      <c r="E3" s="9" t="s">
        <v>4</v>
      </c>
      <c r="F3" s="9" t="s">
        <v>39</v>
      </c>
      <c r="G3" s="10" t="str">
        <f aca="false">HYPERLINK("https://youtube.com/playlist?list=PL_yoT1uNIKb5612J2UBJOZ5Q2RwFQ8Bkm","Open playlist")</f>
        <v>Open playlist</v>
      </c>
      <c r="H3" s="9" t="s">
        <v>40</v>
      </c>
    </row>
    <row r="4" customFormat="false" ht="91" hidden="false" customHeight="false" outlineLevel="0" collapsed="false">
      <c r="A4" s="8" t="s">
        <v>31</v>
      </c>
      <c r="B4" s="8" t="s">
        <v>41</v>
      </c>
      <c r="C4" s="8" t="s">
        <v>33</v>
      </c>
      <c r="D4" s="8" t="s">
        <v>34</v>
      </c>
      <c r="E4" s="8" t="s">
        <v>42</v>
      </c>
      <c r="F4" s="8" t="s">
        <v>39</v>
      </c>
      <c r="G4" s="11" t="str">
        <f aca="false">HYPERLINK("https://www.youtube.com/watch?v=TcmGYe39XG0&amp;list=PL0F530F3BAF8C6FCC","Open playlist")</f>
        <v>Open playlist</v>
      </c>
      <c r="H4" s="8" t="s">
        <v>43</v>
      </c>
    </row>
    <row r="5" customFormat="false" ht="124.6" hidden="false" customHeight="false" outlineLevel="0" collapsed="false">
      <c r="A5" s="9" t="s">
        <v>44</v>
      </c>
      <c r="B5" s="9" t="s">
        <v>45</v>
      </c>
      <c r="C5" s="9" t="s">
        <v>46</v>
      </c>
      <c r="D5" s="9" t="s">
        <v>34</v>
      </c>
      <c r="E5" s="9" t="s">
        <v>4</v>
      </c>
      <c r="F5" s="9" t="s">
        <v>39</v>
      </c>
      <c r="G5" s="10" t="str">
        <f aca="false">HYPERLINK("https://youtube.com/playlist?list=PL_yoT1uNIKb5612J2UBJOZ5Q2RwFQ8Bkm","Open playlist")</f>
        <v>Open playlist</v>
      </c>
      <c r="H5" s="9" t="s">
        <v>47</v>
      </c>
    </row>
    <row r="6" customFormat="false" ht="91" hidden="false" customHeight="false" outlineLevel="0" collapsed="false">
      <c r="A6" s="8" t="s">
        <v>44</v>
      </c>
      <c r="B6" s="8" t="s">
        <v>48</v>
      </c>
      <c r="C6" s="8" t="s">
        <v>46</v>
      </c>
      <c r="D6" s="8" t="s">
        <v>34</v>
      </c>
      <c r="E6" s="8" t="s">
        <v>42</v>
      </c>
      <c r="F6" s="8" t="s">
        <v>39</v>
      </c>
      <c r="G6" s="11" t="str">
        <f aca="false">HYPERLINK("https://www.youtube.com/watch?v=b5VUnapu-qs&amp;list=PLbMVogVj5nJRhl_6TUGChpnt2Lg0AZvZu","Open playlist")</f>
        <v>Open playlist</v>
      </c>
      <c r="H6" s="8" t="s">
        <v>49</v>
      </c>
    </row>
    <row r="7" customFormat="false" ht="113.4" hidden="false" customHeight="false" outlineLevel="0" collapsed="false">
      <c r="A7" s="9" t="s">
        <v>44</v>
      </c>
      <c r="B7" s="9" t="s">
        <v>50</v>
      </c>
      <c r="C7" s="9" t="s">
        <v>51</v>
      </c>
      <c r="D7" s="9" t="s">
        <v>52</v>
      </c>
      <c r="E7" s="9" t="s">
        <v>4</v>
      </c>
      <c r="F7" s="9" t="s">
        <v>39</v>
      </c>
      <c r="G7" s="10" t="str">
        <f aca="false">HYPERLINK("https://youtube.com/playlist?list=PL_yoT1uNIKb5612J2UBJOZ5Q2RwFQ8Bkm","Open playlist")</f>
        <v>Open playlist</v>
      </c>
      <c r="H7" s="9" t="s">
        <v>53</v>
      </c>
    </row>
    <row r="8" customFormat="false" ht="91" hidden="false" customHeight="false" outlineLevel="0" collapsed="false">
      <c r="A8" s="9" t="s">
        <v>54</v>
      </c>
      <c r="B8" s="9" t="s">
        <v>55</v>
      </c>
      <c r="C8" s="9" t="s">
        <v>56</v>
      </c>
      <c r="D8" s="9" t="s">
        <v>57</v>
      </c>
      <c r="E8" s="9" t="s">
        <v>4</v>
      </c>
      <c r="F8" s="9" t="s">
        <v>39</v>
      </c>
      <c r="G8" s="10" t="str">
        <f aca="false">HYPERLINK("https://youtube.com/playlist?list=PL_yoT1uNIKb5612J2UBJOZ5Q2RwFQ8Bkm","Open playlist")</f>
        <v>Open playlist</v>
      </c>
      <c r="H8" s="9" t="s">
        <v>58</v>
      </c>
    </row>
    <row r="9" customFormat="false" ht="79.85" hidden="false" customHeight="false" outlineLevel="0" collapsed="false">
      <c r="A9" s="8" t="s">
        <v>54</v>
      </c>
      <c r="B9" s="8" t="s">
        <v>59</v>
      </c>
      <c r="C9" s="8" t="s">
        <v>56</v>
      </c>
      <c r="D9" s="8" t="s">
        <v>57</v>
      </c>
      <c r="E9" s="8" t="s">
        <v>42</v>
      </c>
      <c r="F9" s="8" t="s">
        <v>39</v>
      </c>
      <c r="G9" s="11" t="str">
        <f aca="false">HYPERLINK("https://www.youtube.com/watch?v=b5VUnapu-qs&amp;list=PLbMVogVj5nJRhl_6TUGChpnt2Lg0AZvZu","Open playlist")</f>
        <v>Open playlist</v>
      </c>
      <c r="H9" s="8" t="s">
        <v>60</v>
      </c>
    </row>
    <row r="10" customFormat="false" ht="124.6" hidden="false" customHeight="false" outlineLevel="0" collapsed="false">
      <c r="A10" s="9" t="s">
        <v>54</v>
      </c>
      <c r="B10" s="9" t="s">
        <v>61</v>
      </c>
      <c r="C10" s="9" t="s">
        <v>62</v>
      </c>
      <c r="D10" s="9" t="s">
        <v>52</v>
      </c>
      <c r="E10" s="9" t="s">
        <v>4</v>
      </c>
      <c r="F10" s="9" t="s">
        <v>39</v>
      </c>
      <c r="G10" s="10" t="str">
        <f aca="false">HYPERLINK("https://youtube.com/playlist?list=PL_yoT1uNIKb5612J2UBJOZ5Q2RwFQ8Bkm","Open playlist")</f>
        <v>Open playlist</v>
      </c>
      <c r="H10" s="9" t="s">
        <v>63</v>
      </c>
    </row>
    <row r="11" customFormat="false" ht="79.85" hidden="false" customHeight="false" outlineLevel="0" collapsed="false">
      <c r="A11" s="9" t="s">
        <v>64</v>
      </c>
      <c r="B11" s="9" t="s">
        <v>65</v>
      </c>
      <c r="C11" s="9" t="s">
        <v>66</v>
      </c>
      <c r="D11" s="9" t="s">
        <v>34</v>
      </c>
      <c r="E11" s="9" t="s">
        <v>4</v>
      </c>
      <c r="F11" s="9" t="s">
        <v>67</v>
      </c>
      <c r="G11" s="10" t="str">
        <f aca="false">HYPERLINK("https://www.youtube.com/watch?v=MW72LV-P_2s","Open video")</f>
        <v>Open video</v>
      </c>
      <c r="H11" s="9" t="s">
        <v>68</v>
      </c>
    </row>
    <row r="12" customFormat="false" ht="79.85" hidden="false" customHeight="false" outlineLevel="0" collapsed="false">
      <c r="A12" s="9" t="s">
        <v>64</v>
      </c>
      <c r="B12" s="9" t="s">
        <v>69</v>
      </c>
      <c r="C12" s="9" t="s">
        <v>66</v>
      </c>
      <c r="D12" s="9" t="s">
        <v>34</v>
      </c>
      <c r="E12" s="9" t="s">
        <v>4</v>
      </c>
      <c r="F12" s="9" t="s">
        <v>67</v>
      </c>
      <c r="G12" s="10" t="str">
        <f aca="false">HYPERLINK("https://www.youtube.com/watch?v=OoZy75MRXlo","Open video")</f>
        <v>Open video</v>
      </c>
      <c r="H12" s="9" t="s">
        <v>70</v>
      </c>
    </row>
    <row r="13" customFormat="false" ht="79.85" hidden="false" customHeight="false" outlineLevel="0" collapsed="false">
      <c r="A13" s="9" t="s">
        <v>64</v>
      </c>
      <c r="B13" s="9" t="s">
        <v>71</v>
      </c>
      <c r="C13" s="9" t="s">
        <v>66</v>
      </c>
      <c r="D13" s="9" t="s">
        <v>34</v>
      </c>
      <c r="E13" s="9" t="s">
        <v>4</v>
      </c>
      <c r="F13" s="9" t="s">
        <v>67</v>
      </c>
      <c r="G13" s="10" t="str">
        <f aca="false">HYPERLINK("https://www.youtube.com/watch?v=7ebxmmC_evI","Open video")</f>
        <v>Open video</v>
      </c>
      <c r="H13" s="9" t="s">
        <v>72</v>
      </c>
    </row>
    <row r="14" customFormat="false" ht="79.85" hidden="false" customHeight="false" outlineLevel="0" collapsed="false">
      <c r="A14" s="9" t="s">
        <v>64</v>
      </c>
      <c r="B14" s="9" t="s">
        <v>73</v>
      </c>
      <c r="C14" s="9" t="s">
        <v>66</v>
      </c>
      <c r="D14" s="9" t="s">
        <v>34</v>
      </c>
      <c r="E14" s="9" t="s">
        <v>4</v>
      </c>
      <c r="F14" s="9" t="s">
        <v>67</v>
      </c>
      <c r="G14" s="10" t="str">
        <f aca="false">HYPERLINK("https://www.youtube.com/watch?v=-tU6TccKzcQ","Open video")</f>
        <v>Open video</v>
      </c>
      <c r="H14" s="9" t="s">
        <v>74</v>
      </c>
    </row>
    <row r="15" customFormat="false" ht="102.2" hidden="false" customHeight="false" outlineLevel="0" collapsed="false">
      <c r="A15" s="9" t="s">
        <v>64</v>
      </c>
      <c r="B15" s="9" t="s">
        <v>75</v>
      </c>
      <c r="C15" s="9" t="s">
        <v>76</v>
      </c>
      <c r="D15" s="9" t="s">
        <v>52</v>
      </c>
      <c r="E15" s="9" t="s">
        <v>4</v>
      </c>
      <c r="F15" s="9" t="s">
        <v>39</v>
      </c>
      <c r="G15" s="10" t="str">
        <f aca="false">HYPERLINK("https://youtube.com/playlist?list=PL_yoT1uNIKb5612J2UBJOZ5Q2RwFQ8Bkm","Open playlist")</f>
        <v>Open playlist</v>
      </c>
      <c r="H15" s="9" t="s">
        <v>77</v>
      </c>
    </row>
    <row r="16" customFormat="false" ht="79.85" hidden="false" customHeight="false" outlineLevel="0" collapsed="false">
      <c r="A16" s="9" t="s">
        <v>78</v>
      </c>
      <c r="B16" s="9" t="s">
        <v>79</v>
      </c>
      <c r="C16" s="9" t="s">
        <v>80</v>
      </c>
      <c r="D16" s="9" t="s">
        <v>81</v>
      </c>
      <c r="E16" s="9" t="s">
        <v>4</v>
      </c>
      <c r="F16" s="9" t="s">
        <v>39</v>
      </c>
      <c r="G16" s="10" t="str">
        <f aca="false">HYPERLINK("https://youtube.com/playlist?list=PL_yoT1uNIKb5612J2UBJOZ5Q2RwFQ8Bkm","Open playlist")</f>
        <v>Open playlist</v>
      </c>
      <c r="H16" s="9" t="s">
        <v>82</v>
      </c>
    </row>
    <row r="17" customFormat="false" ht="124.6" hidden="false" customHeight="false" outlineLevel="0" collapsed="false">
      <c r="A17" s="9" t="s">
        <v>83</v>
      </c>
      <c r="B17" s="9" t="s">
        <v>84</v>
      </c>
      <c r="C17" s="9" t="s">
        <v>85</v>
      </c>
      <c r="D17" s="9" t="s">
        <v>52</v>
      </c>
      <c r="E17" s="9" t="s">
        <v>4</v>
      </c>
      <c r="F17" s="9" t="s">
        <v>39</v>
      </c>
      <c r="G17" s="10" t="str">
        <f aca="false">HYPERLINK("https://youtube.com/playlist?list=PL_yoT1uNIKb5612J2UBJOZ5Q2RwFQ8Bkm","Open playlist")</f>
        <v>Open playlist</v>
      </c>
      <c r="H17" s="9" t="s">
        <v>86</v>
      </c>
    </row>
    <row r="18" customFormat="false" ht="79.85" hidden="false" customHeight="false" outlineLevel="0" collapsed="false">
      <c r="A18" s="9" t="s">
        <v>87</v>
      </c>
      <c r="B18" s="9" t="s">
        <v>88</v>
      </c>
      <c r="C18" s="9" t="s">
        <v>80</v>
      </c>
      <c r="D18" s="9" t="s">
        <v>81</v>
      </c>
      <c r="E18" s="9" t="s">
        <v>4</v>
      </c>
      <c r="F18" s="9" t="s">
        <v>39</v>
      </c>
      <c r="G18" s="10" t="str">
        <f aca="false">HYPERLINK("https://youtube.com/playlist?list=PL_yoT1uNIKb5612J2UBJOZ5Q2RwFQ8Bkm","Open playlist")</f>
        <v>Open playlist</v>
      </c>
      <c r="H18" s="9"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79.85" hidden="false" customHeight="false" outlineLevel="0" collapsed="false">
      <c r="A2" s="9" t="s">
        <v>90</v>
      </c>
      <c r="B2" s="9" t="s">
        <v>91</v>
      </c>
      <c r="C2" s="9" t="s">
        <v>92</v>
      </c>
      <c r="D2" s="9" t="s">
        <v>34</v>
      </c>
      <c r="E2" s="9" t="s">
        <v>4</v>
      </c>
      <c r="F2" s="9" t="s">
        <v>39</v>
      </c>
      <c r="G2" s="10" t="str">
        <f aca="false">HYPERLINK("https://youtube.com/playlist?list=PL_yoT1uNIKb4cTACv0ntPjYQPLSU3ZsB-","Open playlist")</f>
        <v>Open playlist</v>
      </c>
      <c r="H2" s="9" t="s">
        <v>93</v>
      </c>
    </row>
    <row r="3" customFormat="false" ht="68.65" hidden="false" customHeight="false" outlineLevel="0" collapsed="false">
      <c r="A3" s="8" t="s">
        <v>90</v>
      </c>
      <c r="B3" s="8" t="s">
        <v>94</v>
      </c>
      <c r="C3" s="8" t="s">
        <v>92</v>
      </c>
      <c r="D3" s="8" t="s">
        <v>34</v>
      </c>
      <c r="E3" s="8" t="s">
        <v>42</v>
      </c>
      <c r="F3" s="8" t="s">
        <v>39</v>
      </c>
      <c r="G3" s="11" t="str">
        <f aca="false">HYPERLINK("https://www.youtube.com/watch?v=Q6Gw08pwhws&amp;list=PL5E4E56893588CBA8","Open playlist")</f>
        <v>Open playlist</v>
      </c>
      <c r="H3" s="8" t="s">
        <v>95</v>
      </c>
    </row>
    <row r="4" customFormat="false" ht="91" hidden="false" customHeight="false" outlineLevel="0" collapsed="false">
      <c r="A4" s="9" t="s">
        <v>96</v>
      </c>
      <c r="B4" s="9" t="s">
        <v>97</v>
      </c>
      <c r="C4" s="9" t="s">
        <v>98</v>
      </c>
      <c r="D4" s="9" t="s">
        <v>34</v>
      </c>
      <c r="E4" s="9" t="s">
        <v>4</v>
      </c>
      <c r="F4" s="9" t="s">
        <v>39</v>
      </c>
      <c r="G4" s="10" t="str">
        <f aca="false">HYPERLINK("https://youtube.com/playlist?list=PL_yoT1uNIKb4cTACv0ntPjYQPLSU3ZsB-","Open playlist")</f>
        <v>Open playlist</v>
      </c>
      <c r="H4" s="9" t="s">
        <v>99</v>
      </c>
    </row>
    <row r="5" customFormat="false" ht="68.65" hidden="false" customHeight="false" outlineLevel="0" collapsed="false">
      <c r="A5" s="8" t="s">
        <v>96</v>
      </c>
      <c r="B5" s="8" t="s">
        <v>100</v>
      </c>
      <c r="C5" s="8" t="s">
        <v>98</v>
      </c>
      <c r="D5" s="8" t="s">
        <v>34</v>
      </c>
      <c r="E5" s="8" t="s">
        <v>42</v>
      </c>
      <c r="F5" s="8" t="s">
        <v>39</v>
      </c>
      <c r="G5" s="11" t="str">
        <f aca="false">HYPERLINK("https://www.youtube.com/watch?v=Q6Gw08pwhws&amp;list=PL5E4E56893588CBA8","Open playlist")</f>
        <v>Open playlist</v>
      </c>
      <c r="H5" s="8" t="s">
        <v>101</v>
      </c>
    </row>
    <row r="6" customFormat="false" ht="79.85" hidden="false" customHeight="false" outlineLevel="0" collapsed="false">
      <c r="A6" s="9" t="s">
        <v>102</v>
      </c>
      <c r="B6" s="9" t="s">
        <v>103</v>
      </c>
      <c r="C6" s="9" t="s">
        <v>104</v>
      </c>
      <c r="D6" s="9" t="s">
        <v>34</v>
      </c>
      <c r="E6" s="9" t="s">
        <v>4</v>
      </c>
      <c r="F6" s="9" t="s">
        <v>39</v>
      </c>
      <c r="G6" s="10" t="str">
        <f aca="false">HYPERLINK("https://youtube.com/playlist?list=PL_yoT1uNIKb4cTACv0ntPjYQPLSU3ZsB-","Open playlist")</f>
        <v>Open playlist</v>
      </c>
      <c r="H6" s="9" t="s">
        <v>105</v>
      </c>
    </row>
    <row r="7" customFormat="false" ht="79.85" hidden="false" customHeight="false" outlineLevel="0" collapsed="false">
      <c r="A7" s="8" t="s">
        <v>102</v>
      </c>
      <c r="B7" s="8" t="s">
        <v>106</v>
      </c>
      <c r="C7" s="8" t="s">
        <v>104</v>
      </c>
      <c r="D7" s="8" t="s">
        <v>34</v>
      </c>
      <c r="E7" s="8" t="s">
        <v>42</v>
      </c>
      <c r="F7" s="8" t="s">
        <v>39</v>
      </c>
      <c r="G7" s="11" t="str">
        <f aca="false">HYPERLINK("https://www.youtube.com/watch?v=Q6Gw08pwhws&amp;list=PL5E4E56893588CBA8","Open playlist")</f>
        <v>Open playlist</v>
      </c>
      <c r="H7" s="8" t="s">
        <v>107</v>
      </c>
    </row>
    <row r="8" customFormat="false" ht="102.2" hidden="false" customHeight="false" outlineLevel="0" collapsed="false">
      <c r="A8" s="9" t="s">
        <v>108</v>
      </c>
      <c r="B8" s="9" t="s">
        <v>109</v>
      </c>
      <c r="C8" s="9" t="s">
        <v>110</v>
      </c>
      <c r="D8" s="9" t="s">
        <v>52</v>
      </c>
      <c r="E8" s="9" t="s">
        <v>4</v>
      </c>
      <c r="F8" s="9" t="s">
        <v>39</v>
      </c>
      <c r="G8" s="10" t="str">
        <f aca="false">HYPERLINK("https://youtube.com/playlist?list=PL_yoT1uNIKb4cTACv0ntPjYQPLSU3ZsB-","Open playlist")</f>
        <v>Open playlist</v>
      </c>
      <c r="H8" s="9" t="s">
        <v>111</v>
      </c>
    </row>
    <row r="9" customFormat="false" ht="91" hidden="false" customHeight="false" outlineLevel="0" collapsed="false">
      <c r="A9" s="8" t="s">
        <v>108</v>
      </c>
      <c r="B9" s="8" t="s">
        <v>112</v>
      </c>
      <c r="C9" s="8" t="s">
        <v>110</v>
      </c>
      <c r="D9" s="8" t="s">
        <v>52</v>
      </c>
      <c r="E9" s="8" t="s">
        <v>42</v>
      </c>
      <c r="F9" s="8" t="s">
        <v>39</v>
      </c>
      <c r="G9" s="11" t="str">
        <f aca="false">HYPERLINK("https://www.youtube.com/watch?v=Q6Gw08pwhws&amp;list=PL5E4E56893588CBA8","Open playlist")</f>
        <v>Open playlist</v>
      </c>
      <c r="H9" s="8" t="s">
        <v>113</v>
      </c>
    </row>
    <row r="10" customFormat="false" ht="91" hidden="false" customHeight="false" outlineLevel="0" collapsed="false">
      <c r="A10" s="8" t="s">
        <v>114</v>
      </c>
      <c r="B10" s="8" t="s">
        <v>115</v>
      </c>
      <c r="C10" s="8" t="s">
        <v>116</v>
      </c>
      <c r="D10" s="8" t="s">
        <v>117</v>
      </c>
      <c r="E10" s="8" t="s">
        <v>35</v>
      </c>
      <c r="F10" s="8" t="s">
        <v>36</v>
      </c>
      <c r="G10" s="8"/>
      <c r="H10" s="8"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79.85" hidden="false" customHeight="false" outlineLevel="0" collapsed="false">
      <c r="A2" s="8" t="s">
        <v>119</v>
      </c>
      <c r="B2" s="8" t="s">
        <v>120</v>
      </c>
      <c r="C2" s="8" t="s">
        <v>121</v>
      </c>
      <c r="D2" s="8" t="s">
        <v>57</v>
      </c>
      <c r="E2" s="8" t="s">
        <v>122</v>
      </c>
      <c r="F2" s="8" t="s">
        <v>39</v>
      </c>
      <c r="G2" s="11" t="str">
        <f aca="false">HYPERLINK("https://www.youtube.com/watch?v=49vEaNa1XKo&amp;list=PLbMVogVj5nJQInU_xlAdGS2220biQma1x","Open playlist")</f>
        <v>Open playlist</v>
      </c>
      <c r="H2" s="8" t="s">
        <v>123</v>
      </c>
    </row>
    <row r="3" customFormat="false" ht="102.2" hidden="false" customHeight="false" outlineLevel="0" collapsed="false">
      <c r="A3" s="8" t="s">
        <v>124</v>
      </c>
      <c r="B3" s="8" t="s">
        <v>125</v>
      </c>
      <c r="C3" s="8" t="s">
        <v>126</v>
      </c>
      <c r="D3" s="8" t="s">
        <v>52</v>
      </c>
      <c r="E3" s="8" t="s">
        <v>122</v>
      </c>
      <c r="F3" s="8" t="s">
        <v>39</v>
      </c>
      <c r="G3" s="11" t="str">
        <f aca="false">HYPERLINK("https://www.youtube.com/watch?v=49vEaNa1XKo&amp;list=PLbMVogVj5nJQInU_xlAdGS2220biQma1x","Open playlist")</f>
        <v>Open playlist</v>
      </c>
      <c r="H3" s="8" t="s">
        <v>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79.85" hidden="false" customHeight="false" outlineLevel="0" collapsed="false">
      <c r="A2" s="9" t="s">
        <v>128</v>
      </c>
      <c r="B2" s="9" t="s">
        <v>129</v>
      </c>
      <c r="C2" s="9" t="s">
        <v>130</v>
      </c>
      <c r="D2" s="9" t="s">
        <v>57</v>
      </c>
      <c r="E2" s="9" t="s">
        <v>4</v>
      </c>
      <c r="F2" s="9" t="s">
        <v>39</v>
      </c>
      <c r="G2" s="10" t="str">
        <f aca="false">HYPERLINK("https://youtube.com/playlist?list=PL_yoT1uNIKb5iALlayczJMl_SHkd8TcX8","Open playlist")</f>
        <v>Open playlist</v>
      </c>
      <c r="H2" s="9" t="s">
        <v>131</v>
      </c>
    </row>
    <row r="3" customFormat="false" ht="68.65" hidden="false" customHeight="false" outlineLevel="0" collapsed="false">
      <c r="A3" s="8" t="s">
        <v>128</v>
      </c>
      <c r="B3" s="8" t="s">
        <v>132</v>
      </c>
      <c r="C3" s="8" t="s">
        <v>130</v>
      </c>
      <c r="D3" s="8" t="s">
        <v>57</v>
      </c>
      <c r="E3" s="8" t="s">
        <v>133</v>
      </c>
      <c r="F3" s="8" t="s">
        <v>39</v>
      </c>
      <c r="G3" s="11" t="str">
        <f aca="false">HYPERLINK("https://www.youtube.com/watch?v=NED2Cl8u9Q0&amp;list=PLbMVogVj5nJSKsAlDEbNwKZY6zD0EbGMF","Open playlist")</f>
        <v>Open playlist</v>
      </c>
      <c r="H3" s="8" t="s">
        <v>134</v>
      </c>
    </row>
    <row r="4" customFormat="false" ht="113.4" hidden="false" customHeight="false" outlineLevel="0" collapsed="false">
      <c r="A4" s="9" t="s">
        <v>135</v>
      </c>
      <c r="B4" s="9" t="s">
        <v>136</v>
      </c>
      <c r="C4" s="9" t="s">
        <v>137</v>
      </c>
      <c r="D4" s="9" t="s">
        <v>52</v>
      </c>
      <c r="E4" s="9" t="s">
        <v>4</v>
      </c>
      <c r="F4" s="9" t="s">
        <v>39</v>
      </c>
      <c r="G4" s="10" t="str">
        <f aca="false">HYPERLINK("https://youtube.com/playlist?list=PL_yoT1uNIKb5iALlayczJMl_SHkd8TcX8","Open playlist")</f>
        <v>Open playlist</v>
      </c>
      <c r="H4" s="9" t="s">
        <v>138</v>
      </c>
    </row>
    <row r="5" customFormat="false" ht="91" hidden="false" customHeight="false" outlineLevel="0" collapsed="false">
      <c r="A5" s="8" t="s">
        <v>135</v>
      </c>
      <c r="B5" s="8" t="s">
        <v>139</v>
      </c>
      <c r="C5" s="8" t="s">
        <v>137</v>
      </c>
      <c r="D5" s="8" t="s">
        <v>52</v>
      </c>
      <c r="E5" s="8" t="s">
        <v>133</v>
      </c>
      <c r="F5" s="8" t="s">
        <v>39</v>
      </c>
      <c r="G5" s="11" t="str">
        <f aca="false">HYPERLINK("https://www.youtube.com/watch?v=NED2Cl8u9Q0&amp;list=PLbMVogVj5nJSKsAlDEbNwKZY6zD0EbGMF","Open playlist")</f>
        <v>Open playlist</v>
      </c>
      <c r="H5" s="8" t="s">
        <v>140</v>
      </c>
    </row>
    <row r="6" customFormat="false" ht="79.85" hidden="false" customHeight="false" outlineLevel="0" collapsed="false">
      <c r="A6" s="9" t="s">
        <v>141</v>
      </c>
      <c r="B6" s="9" t="s">
        <v>142</v>
      </c>
      <c r="C6" s="9" t="s">
        <v>143</v>
      </c>
      <c r="D6" s="9" t="s">
        <v>34</v>
      </c>
      <c r="E6" s="9" t="s">
        <v>4</v>
      </c>
      <c r="F6" s="9" t="s">
        <v>39</v>
      </c>
      <c r="G6" s="10" t="str">
        <f aca="false">HYPERLINK("https://youtube.com/playlist?list=PL_yoT1uNIKb5iALlayczJMl_SHkd8TcX8","Open playlist")</f>
        <v>Open playlist</v>
      </c>
      <c r="H6" s="9" t="s">
        <v>144</v>
      </c>
    </row>
    <row r="7" customFormat="false" ht="68.65" hidden="false" customHeight="false" outlineLevel="0" collapsed="false">
      <c r="A7" s="8" t="s">
        <v>141</v>
      </c>
      <c r="B7" s="8" t="s">
        <v>145</v>
      </c>
      <c r="C7" s="8" t="s">
        <v>143</v>
      </c>
      <c r="D7" s="8" t="s">
        <v>34</v>
      </c>
      <c r="E7" s="8" t="s">
        <v>133</v>
      </c>
      <c r="F7" s="8" t="s">
        <v>39</v>
      </c>
      <c r="G7" s="11" t="str">
        <f aca="false">HYPERLINK("https://www.youtube.com/watch?v=NED2Cl8u9Q0&amp;list=PLbMVogVj5nJSKsAlDEbNwKZY6zD0EbGMF","Open playlist")</f>
        <v>Open playlist</v>
      </c>
      <c r="H7" s="8" t="s">
        <v>146</v>
      </c>
    </row>
    <row r="8" customFormat="false" ht="91" hidden="false" customHeight="false" outlineLevel="0" collapsed="false">
      <c r="A8" s="9" t="s">
        <v>147</v>
      </c>
      <c r="B8" s="9" t="s">
        <v>148</v>
      </c>
      <c r="C8" s="9" t="s">
        <v>149</v>
      </c>
      <c r="D8" s="9" t="s">
        <v>34</v>
      </c>
      <c r="E8" s="9" t="s">
        <v>4</v>
      </c>
      <c r="F8" s="9" t="s">
        <v>39</v>
      </c>
      <c r="G8" s="10" t="str">
        <f aca="false">HYPERLINK("https://youtube.com/playlist?list=PL_yoT1uNIKb5iALlayczJMl_SHkd8TcX8","Open playlist")</f>
        <v>Open playlist</v>
      </c>
      <c r="H8" s="9" t="s">
        <v>150</v>
      </c>
    </row>
    <row r="9" customFormat="false" ht="68.65" hidden="false" customHeight="false" outlineLevel="0" collapsed="false">
      <c r="A9" s="8" t="s">
        <v>147</v>
      </c>
      <c r="B9" s="8" t="s">
        <v>151</v>
      </c>
      <c r="C9" s="8" t="s">
        <v>149</v>
      </c>
      <c r="D9" s="8" t="s">
        <v>34</v>
      </c>
      <c r="E9" s="8" t="s">
        <v>133</v>
      </c>
      <c r="F9" s="8" t="s">
        <v>39</v>
      </c>
      <c r="G9" s="11" t="str">
        <f aca="false">HYPERLINK("https://www.youtube.com/watch?v=NED2Cl8u9Q0&amp;list=PLbMVogVj5nJSKsAlDEbNwKZY6zD0EbGMF","Open playlist")</f>
        <v>Open playlist</v>
      </c>
      <c r="H9" s="8" t="s">
        <v>152</v>
      </c>
    </row>
    <row r="10" customFormat="false" ht="91" hidden="false" customHeight="false" outlineLevel="0" collapsed="false">
      <c r="A10" s="9" t="s">
        <v>153</v>
      </c>
      <c r="B10" s="9" t="s">
        <v>154</v>
      </c>
      <c r="C10" s="9" t="s">
        <v>155</v>
      </c>
      <c r="D10" s="9" t="s">
        <v>81</v>
      </c>
      <c r="E10" s="9" t="s">
        <v>4</v>
      </c>
      <c r="F10" s="9" t="s">
        <v>39</v>
      </c>
      <c r="G10" s="10" t="str">
        <f aca="false">HYPERLINK("https://youtube.com/playlist?list=PL_yoT1uNIKb5iALlayczJMl_SHkd8TcX8","Open playlist")</f>
        <v>Open playlist</v>
      </c>
      <c r="H10" s="9" t="s">
        <v>156</v>
      </c>
    </row>
    <row r="11" customFormat="false" ht="91" hidden="false" customHeight="false" outlineLevel="0" collapsed="false">
      <c r="A11" s="8" t="s">
        <v>153</v>
      </c>
      <c r="B11" s="8" t="s">
        <v>157</v>
      </c>
      <c r="C11" s="8" t="s">
        <v>155</v>
      </c>
      <c r="D11" s="8" t="s">
        <v>81</v>
      </c>
      <c r="E11" s="8" t="s">
        <v>133</v>
      </c>
      <c r="F11" s="8" t="s">
        <v>39</v>
      </c>
      <c r="G11" s="11" t="str">
        <f aca="false">HYPERLINK("https://www.youtube.com/watch?v=NED2Cl8u9Q0&amp;list=PLbMVogVj5nJSKsAlDEbNwKZY6zD0EbGMF","Open playlist")</f>
        <v>Open playlist</v>
      </c>
      <c r="H11" s="8" t="s">
        <v>158</v>
      </c>
    </row>
    <row r="12" customFormat="false" ht="79.85" hidden="false" customHeight="false" outlineLevel="0" collapsed="false">
      <c r="A12" s="9" t="s">
        <v>159</v>
      </c>
      <c r="B12" s="9" t="s">
        <v>160</v>
      </c>
      <c r="C12" s="9" t="s">
        <v>155</v>
      </c>
      <c r="D12" s="9" t="s">
        <v>81</v>
      </c>
      <c r="E12" s="9" t="s">
        <v>4</v>
      </c>
      <c r="F12" s="9" t="s">
        <v>39</v>
      </c>
      <c r="G12" s="10" t="str">
        <f aca="false">HYPERLINK("https://youtube.com/playlist?list=PL_yoT1uNIKb5iALlayczJMl_SHkd8TcX8","Open playlist")</f>
        <v>Open playlist</v>
      </c>
      <c r="H12" s="9" t="s">
        <v>161</v>
      </c>
    </row>
    <row r="13" customFormat="false" ht="79.85" hidden="false" customHeight="false" outlineLevel="0" collapsed="false">
      <c r="A13" s="8" t="s">
        <v>159</v>
      </c>
      <c r="B13" s="8" t="s">
        <v>162</v>
      </c>
      <c r="C13" s="8" t="s">
        <v>155</v>
      </c>
      <c r="D13" s="8" t="s">
        <v>81</v>
      </c>
      <c r="E13" s="8" t="s">
        <v>133</v>
      </c>
      <c r="F13" s="8" t="s">
        <v>39</v>
      </c>
      <c r="G13" s="11" t="str">
        <f aca="false">HYPERLINK("https://www.youtube.com/watch?v=NED2Cl8u9Q0&amp;list=PLbMVogVj5nJSKsAlDEbNwKZY6zD0EbGMF","Open playlist")</f>
        <v>Open playlist</v>
      </c>
      <c r="H13" s="8"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91" hidden="false" customHeight="false" outlineLevel="0" collapsed="false">
      <c r="A2" s="8" t="s">
        <v>164</v>
      </c>
      <c r="B2" s="8" t="s">
        <v>165</v>
      </c>
      <c r="C2" s="8" t="s">
        <v>166</v>
      </c>
      <c r="D2" s="8" t="s">
        <v>34</v>
      </c>
      <c r="E2" s="8" t="s">
        <v>167</v>
      </c>
      <c r="F2" s="8" t="s">
        <v>39</v>
      </c>
      <c r="G2" s="11" t="str">
        <f aca="false">HYPERLINK("https://www.youtube.com/watch?v=xoJWoMQwTAw&amp;list=PLyqSpQzTE6M9X7oRXliYM8t0aaR_N0Csd","Open playlist")</f>
        <v>Open playlist</v>
      </c>
      <c r="H2" s="8" t="s">
        <v>168</v>
      </c>
    </row>
    <row r="3" customFormat="false" ht="102.2" hidden="false" customHeight="false" outlineLevel="0" collapsed="false">
      <c r="A3" s="8" t="s">
        <v>169</v>
      </c>
      <c r="B3" s="8" t="s">
        <v>170</v>
      </c>
      <c r="C3" s="8" t="s">
        <v>171</v>
      </c>
      <c r="D3" s="8" t="s">
        <v>52</v>
      </c>
      <c r="E3" s="8" t="s">
        <v>167</v>
      </c>
      <c r="F3" s="8" t="s">
        <v>39</v>
      </c>
      <c r="G3" s="11" t="str">
        <f aca="false">HYPERLINK("https://www.youtube.com/watch?v=xoJWoMQwTAw&amp;list=PLyqSpQzTE6M9X7oRXliYM8t0aaR_N0Csd","Open playlist")</f>
        <v>Open playlist</v>
      </c>
      <c r="H3" s="8" t="s">
        <v>172</v>
      </c>
    </row>
    <row r="4" customFormat="false" ht="68.65" hidden="false" customHeight="false" outlineLevel="0" collapsed="false">
      <c r="A4" s="8" t="s">
        <v>173</v>
      </c>
      <c r="B4" s="8" t="s">
        <v>174</v>
      </c>
      <c r="C4" s="8" t="s">
        <v>116</v>
      </c>
      <c r="D4" s="8" t="s">
        <v>34</v>
      </c>
      <c r="E4" s="8" t="s">
        <v>167</v>
      </c>
      <c r="F4" s="8" t="s">
        <v>39</v>
      </c>
      <c r="G4" s="11" t="str">
        <f aca="false">HYPERLINK("https://www.youtube.com/watch?v=xoJWoMQwTAw&amp;list=PLyqSpQzTE6M9X7oRXliYM8t0aaR_N0Csd","Open playlist")</f>
        <v>Open playlist</v>
      </c>
      <c r="H4" s="8" t="s">
        <v>175</v>
      </c>
    </row>
    <row r="5" customFormat="false" ht="91" hidden="false" customHeight="false" outlineLevel="0" collapsed="false">
      <c r="A5" s="8" t="s">
        <v>176</v>
      </c>
      <c r="B5" s="8" t="s">
        <v>177</v>
      </c>
      <c r="C5" s="8" t="s">
        <v>178</v>
      </c>
      <c r="D5" s="8" t="s">
        <v>34</v>
      </c>
      <c r="E5" s="8" t="s">
        <v>167</v>
      </c>
      <c r="F5" s="8" t="s">
        <v>39</v>
      </c>
      <c r="G5" s="11" t="str">
        <f aca="false">HYPERLINK("https://www.youtube.com/watch?v=xoJWoMQwTAw&amp;list=PLyqSpQzTE6M9X7oRXliYM8t0aaR_N0Csd","Open playlist")</f>
        <v>Open playlist</v>
      </c>
      <c r="H5" s="8" t="s">
        <v>179</v>
      </c>
    </row>
    <row r="6" customFormat="false" ht="68.65" hidden="false" customHeight="false" outlineLevel="0" collapsed="false">
      <c r="A6" s="8" t="s">
        <v>180</v>
      </c>
      <c r="B6" s="8" t="s">
        <v>181</v>
      </c>
      <c r="C6" s="8" t="s">
        <v>178</v>
      </c>
      <c r="D6" s="8" t="s">
        <v>34</v>
      </c>
      <c r="E6" s="8" t="s">
        <v>167</v>
      </c>
      <c r="F6" s="8" t="s">
        <v>39</v>
      </c>
      <c r="G6" s="11" t="str">
        <f aca="false">HYPERLINK("https://www.youtube.com/watch?v=xoJWoMQwTAw&amp;list=PLyqSpQzTE6M9X7oRXliYM8t0aaR_N0Csd","Open playlist")</f>
        <v>Open playlist</v>
      </c>
      <c r="H6" s="8" t="s">
        <v>182</v>
      </c>
    </row>
    <row r="7" customFormat="false" ht="79.85" hidden="false" customHeight="false" outlineLevel="0" collapsed="false">
      <c r="A7" s="8" t="s">
        <v>183</v>
      </c>
      <c r="B7" s="8" t="s">
        <v>184</v>
      </c>
      <c r="C7" s="8" t="s">
        <v>185</v>
      </c>
      <c r="D7" s="8" t="s">
        <v>34</v>
      </c>
      <c r="E7" s="8" t="s">
        <v>167</v>
      </c>
      <c r="F7" s="8" t="s">
        <v>39</v>
      </c>
      <c r="G7" s="11" t="str">
        <f aca="false">HYPERLINK("https://www.youtube.com/watch?v=xoJWoMQwTAw&amp;list=PLyqSpQzTE6M9X7oRXliYM8t0aaR_N0Csd","Open playlist")</f>
        <v>Open playlist</v>
      </c>
      <c r="H7" s="8"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91" hidden="false" customHeight="false" outlineLevel="0" collapsed="false">
      <c r="A2" s="9" t="s">
        <v>187</v>
      </c>
      <c r="B2" s="9" t="s">
        <v>188</v>
      </c>
      <c r="C2" s="9" t="s">
        <v>189</v>
      </c>
      <c r="D2" s="9" t="s">
        <v>34</v>
      </c>
      <c r="E2" s="9" t="s">
        <v>4</v>
      </c>
      <c r="F2" s="9" t="s">
        <v>39</v>
      </c>
      <c r="G2" s="10" t="str">
        <f aca="false">HYPERLINK("https://youtube.com/playlist?list=PL_yoT1uNIKb7vY46rDudNBXJDrMMPM5iV","Open playlist")</f>
        <v>Open playlist</v>
      </c>
      <c r="H2" s="9" t="s">
        <v>190</v>
      </c>
    </row>
    <row r="3" customFormat="false" ht="79.85" hidden="false" customHeight="false" outlineLevel="0" collapsed="false">
      <c r="A3" s="8" t="s">
        <v>187</v>
      </c>
      <c r="B3" s="8" t="s">
        <v>191</v>
      </c>
      <c r="C3" s="8" t="s">
        <v>189</v>
      </c>
      <c r="D3" s="8" t="s">
        <v>34</v>
      </c>
      <c r="E3" s="8" t="s">
        <v>42</v>
      </c>
      <c r="F3" s="8" t="s">
        <v>39</v>
      </c>
      <c r="G3" s="11" t="str">
        <f aca="false">HYPERLINK("https://www.youtube.com/watch?v=TcmGYe39XG0&amp;list=PL0F530F3BAF8C6FCC","Open playlist")</f>
        <v>Open playlist</v>
      </c>
      <c r="H3" s="8" t="s">
        <v>192</v>
      </c>
    </row>
    <row r="4" customFormat="false" ht="79.85" hidden="false" customHeight="false" outlineLevel="0" collapsed="false">
      <c r="A4" s="9" t="s">
        <v>193</v>
      </c>
      <c r="B4" s="9" t="s">
        <v>194</v>
      </c>
      <c r="C4" s="9" t="s">
        <v>189</v>
      </c>
      <c r="D4" s="9" t="s">
        <v>34</v>
      </c>
      <c r="E4" s="9" t="s">
        <v>4</v>
      </c>
      <c r="F4" s="9" t="s">
        <v>39</v>
      </c>
      <c r="G4" s="10" t="str">
        <f aca="false">HYPERLINK("https://youtube.com/playlist?list=PL_yoT1uNIKb7vY46rDudNBXJDrMMPM5iV","Open playlist")</f>
        <v>Open playlist</v>
      </c>
      <c r="H4" s="9" t="s">
        <v>195</v>
      </c>
    </row>
    <row r="5" customFormat="false" ht="102.2" hidden="false" customHeight="false" outlineLevel="0" collapsed="false">
      <c r="A5" s="9" t="s">
        <v>196</v>
      </c>
      <c r="B5" s="9" t="s">
        <v>197</v>
      </c>
      <c r="C5" s="9" t="s">
        <v>198</v>
      </c>
      <c r="D5" s="9" t="s">
        <v>52</v>
      </c>
      <c r="E5" s="9" t="s">
        <v>4</v>
      </c>
      <c r="F5" s="9" t="s">
        <v>39</v>
      </c>
      <c r="G5" s="10" t="str">
        <f aca="false">HYPERLINK("https://youtube.com/playlist?list=PL_yoT1uNIKb7vY46rDudNBXJDrMMPM5iV","Open playlist")</f>
        <v>Open playlist</v>
      </c>
      <c r="H5" s="9" t="s">
        <v>199</v>
      </c>
    </row>
    <row r="6" customFormat="false" ht="91" hidden="false" customHeight="false" outlineLevel="0" collapsed="false">
      <c r="A6" s="8" t="s">
        <v>196</v>
      </c>
      <c r="B6" s="8" t="s">
        <v>200</v>
      </c>
      <c r="C6" s="8" t="s">
        <v>198</v>
      </c>
      <c r="D6" s="8" t="s">
        <v>52</v>
      </c>
      <c r="E6" s="8" t="s">
        <v>42</v>
      </c>
      <c r="F6" s="8" t="s">
        <v>39</v>
      </c>
      <c r="G6" s="11" t="str">
        <f aca="false">HYPERLINK("https://www.youtube.com/watch?v=TcmGYe39XG0&amp;list=PL0F530F3BAF8C6FCC","Open playlist")</f>
        <v>Open playlist</v>
      </c>
      <c r="H6" s="8" t="s">
        <v>201</v>
      </c>
    </row>
    <row r="7" customFormat="false" ht="102.2" hidden="false" customHeight="false" outlineLevel="0" collapsed="false">
      <c r="A7" s="9" t="s">
        <v>202</v>
      </c>
      <c r="B7" s="9" t="s">
        <v>203</v>
      </c>
      <c r="C7" s="9" t="s">
        <v>204</v>
      </c>
      <c r="D7" s="9" t="s">
        <v>52</v>
      </c>
      <c r="E7" s="9" t="s">
        <v>4</v>
      </c>
      <c r="F7" s="9" t="s">
        <v>39</v>
      </c>
      <c r="G7" s="10" t="str">
        <f aca="false">HYPERLINK("https://youtube.com/playlist?list=PL_yoT1uNIKb7vY46rDudNBXJDrMMPM5iV","Open playlist")</f>
        <v>Open playlist</v>
      </c>
      <c r="H7" s="9" t="s">
        <v>205</v>
      </c>
    </row>
    <row r="8" customFormat="false" ht="91" hidden="false" customHeight="false" outlineLevel="0" collapsed="false">
      <c r="A8" s="9" t="s">
        <v>206</v>
      </c>
      <c r="B8" s="9" t="s">
        <v>207</v>
      </c>
      <c r="C8" s="9" t="s">
        <v>208</v>
      </c>
      <c r="D8" s="9" t="s">
        <v>52</v>
      </c>
      <c r="E8" s="9" t="s">
        <v>4</v>
      </c>
      <c r="F8" s="9" t="s">
        <v>39</v>
      </c>
      <c r="G8" s="10" t="str">
        <f aca="false">HYPERLINK("https://youtube.com/playlist?list=PL_yoT1uNIKb7vY46rDudNBXJDrMMPM5iV","Open playlist")</f>
        <v>Open playlist</v>
      </c>
      <c r="H8" s="9" t="s">
        <v>209</v>
      </c>
    </row>
    <row r="9" customFormat="false" ht="91" hidden="false" customHeight="false" outlineLevel="0" collapsed="false">
      <c r="A9" s="8" t="s">
        <v>206</v>
      </c>
      <c r="B9" s="8" t="s">
        <v>210</v>
      </c>
      <c r="C9" s="8" t="s">
        <v>208</v>
      </c>
      <c r="D9" s="8" t="s">
        <v>52</v>
      </c>
      <c r="E9" s="8" t="s">
        <v>211</v>
      </c>
      <c r="F9" s="8" t="s">
        <v>39</v>
      </c>
      <c r="G9" s="11" t="str">
        <f aca="false">HYPERLINK("https://www.youtube.com/watch?v=pGerRhxNQJE&amp;list=PLbMVogVj5nJTXGlgqyzpUqozrU55oRX-H","Open playlist")</f>
        <v>Open playlist</v>
      </c>
      <c r="H9" s="8" t="s">
        <v>212</v>
      </c>
    </row>
    <row r="10" customFormat="false" ht="91" hidden="false" customHeight="false" outlineLevel="0" collapsed="false">
      <c r="A10" s="9" t="s">
        <v>213</v>
      </c>
      <c r="B10" s="9" t="s">
        <v>214</v>
      </c>
      <c r="C10" s="9" t="s">
        <v>215</v>
      </c>
      <c r="D10" s="9" t="s">
        <v>117</v>
      </c>
      <c r="E10" s="9" t="s">
        <v>4</v>
      </c>
      <c r="F10" s="9" t="s">
        <v>39</v>
      </c>
      <c r="G10" s="10" t="str">
        <f aca="false">HYPERLINK("https://youtube.com/playlist?list=PL_yoT1uNIKb7vY46rDudNBXJDrMMPM5iV","Open playlist")</f>
        <v>Open playlist</v>
      </c>
      <c r="H10" s="9"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79.85" hidden="false" customHeight="false" outlineLevel="0" collapsed="false">
      <c r="A2" s="9" t="s">
        <v>217</v>
      </c>
      <c r="B2" s="9" t="s">
        <v>218</v>
      </c>
      <c r="C2" s="9" t="s">
        <v>219</v>
      </c>
      <c r="D2" s="9" t="s">
        <v>34</v>
      </c>
      <c r="E2" s="9" t="s">
        <v>4</v>
      </c>
      <c r="F2" s="9" t="s">
        <v>39</v>
      </c>
      <c r="G2" s="10" t="str">
        <f aca="false">HYPERLINK("https://youtube.com/playlist?list=PL_yoT1uNIKb5ECZhofT0WNdLYyw9gEhNA","Open playlist")</f>
        <v>Open playlist</v>
      </c>
      <c r="H2" s="9" t="s">
        <v>220</v>
      </c>
    </row>
    <row r="3" customFormat="false" ht="79.85" hidden="false" customHeight="false" outlineLevel="0" collapsed="false">
      <c r="A3" s="8" t="s">
        <v>217</v>
      </c>
      <c r="B3" s="8" t="s">
        <v>221</v>
      </c>
      <c r="C3" s="8" t="s">
        <v>219</v>
      </c>
      <c r="D3" s="8" t="s">
        <v>34</v>
      </c>
      <c r="E3" s="8" t="s">
        <v>222</v>
      </c>
      <c r="F3" s="8" t="s">
        <v>39</v>
      </c>
      <c r="G3" s="11" t="str">
        <f aca="false">HYPERLINK("https://www.youtube.com/watch?v=iud7fzXPJUs&amp;list=PLwdnzlV3ogoXkmlIyZceK111IMjCgS-b7","Open playlist")</f>
        <v>Open playlist</v>
      </c>
      <c r="H3" s="8" t="s">
        <v>223</v>
      </c>
    </row>
    <row r="4" customFormat="false" ht="91" hidden="false" customHeight="false" outlineLevel="0" collapsed="false">
      <c r="A4" s="9" t="s">
        <v>224</v>
      </c>
      <c r="B4" s="9" t="s">
        <v>225</v>
      </c>
      <c r="C4" s="9" t="s">
        <v>226</v>
      </c>
      <c r="D4" s="9" t="s">
        <v>57</v>
      </c>
      <c r="E4" s="9" t="s">
        <v>4</v>
      </c>
      <c r="F4" s="9" t="s">
        <v>39</v>
      </c>
      <c r="G4" s="10" t="str">
        <f aca="false">HYPERLINK("https://youtube.com/playlist?list=PL_yoT1uNIKb5ECZhofT0WNdLYyw9gEhNA","Open playlist")</f>
        <v>Open playlist</v>
      </c>
      <c r="H4" s="9" t="s">
        <v>227</v>
      </c>
    </row>
    <row r="5" customFormat="false" ht="79.85" hidden="false" customHeight="false" outlineLevel="0" collapsed="false">
      <c r="A5" s="8" t="s">
        <v>224</v>
      </c>
      <c r="B5" s="8" t="s">
        <v>228</v>
      </c>
      <c r="C5" s="8" t="s">
        <v>226</v>
      </c>
      <c r="D5" s="8" t="s">
        <v>57</v>
      </c>
      <c r="E5" s="8" t="s">
        <v>222</v>
      </c>
      <c r="F5" s="8" t="s">
        <v>39</v>
      </c>
      <c r="G5" s="11" t="str">
        <f aca="false">HYPERLINK("https://www.youtube.com/watch?v=iud7fzXPJUs&amp;list=PLwdnzlV3ogoXkmlIyZceK111IMjCgS-b7","Open playlist")</f>
        <v>Open playlist</v>
      </c>
      <c r="H5" s="8" t="s">
        <v>229</v>
      </c>
    </row>
    <row r="6" customFormat="false" ht="79.85" hidden="false" customHeight="false" outlineLevel="0" collapsed="false">
      <c r="A6" s="9" t="s">
        <v>230</v>
      </c>
      <c r="B6" s="9" t="s">
        <v>231</v>
      </c>
      <c r="C6" s="9" t="s">
        <v>232</v>
      </c>
      <c r="D6" s="9" t="s">
        <v>34</v>
      </c>
      <c r="E6" s="9" t="s">
        <v>4</v>
      </c>
      <c r="F6" s="9" t="s">
        <v>39</v>
      </c>
      <c r="G6" s="10" t="str">
        <f aca="false">HYPERLINK("https://youtube.com/playlist?list=PL_yoT1uNIKb5ECZhofT0WNdLYyw9gEhNA","Open playlist")</f>
        <v>Open playlist</v>
      </c>
      <c r="H6" s="9" t="s">
        <v>233</v>
      </c>
    </row>
    <row r="7" customFormat="false" ht="79.85" hidden="false" customHeight="false" outlineLevel="0" collapsed="false">
      <c r="A7" s="8" t="s">
        <v>230</v>
      </c>
      <c r="B7" s="8" t="s">
        <v>234</v>
      </c>
      <c r="C7" s="8" t="s">
        <v>232</v>
      </c>
      <c r="D7" s="8" t="s">
        <v>34</v>
      </c>
      <c r="E7" s="8" t="s">
        <v>222</v>
      </c>
      <c r="F7" s="8" t="s">
        <v>39</v>
      </c>
      <c r="G7" s="11" t="str">
        <f aca="false">HYPERLINK("https://www.youtube.com/watch?v=iud7fzXPJUs&amp;list=PLwdnzlV3ogoXkmlIyZceK111IMjCgS-b7","Open playlist")</f>
        <v>Open playlist</v>
      </c>
      <c r="H7" s="8" t="s">
        <v>235</v>
      </c>
    </row>
    <row r="8" customFormat="false" ht="102.2" hidden="false" customHeight="false" outlineLevel="0" collapsed="false">
      <c r="A8" s="9" t="s">
        <v>236</v>
      </c>
      <c r="B8" s="9" t="s">
        <v>237</v>
      </c>
      <c r="C8" s="9" t="s">
        <v>238</v>
      </c>
      <c r="D8" s="9" t="s">
        <v>52</v>
      </c>
      <c r="E8" s="9" t="s">
        <v>4</v>
      </c>
      <c r="F8" s="9" t="s">
        <v>39</v>
      </c>
      <c r="G8" s="10" t="str">
        <f aca="false">HYPERLINK("https://youtube.com/playlist?list=PL_yoT1uNIKb5ECZhofT0WNdLYyw9gEhNA","Open playlist")</f>
        <v>Open playlist</v>
      </c>
      <c r="H8" s="9" t="s">
        <v>239</v>
      </c>
    </row>
    <row r="9" customFormat="false" ht="91" hidden="false" customHeight="false" outlineLevel="0" collapsed="false">
      <c r="A9" s="8" t="s">
        <v>236</v>
      </c>
      <c r="B9" s="8" t="s">
        <v>240</v>
      </c>
      <c r="C9" s="8" t="s">
        <v>238</v>
      </c>
      <c r="D9" s="8" t="s">
        <v>52</v>
      </c>
      <c r="E9" s="8" t="s">
        <v>222</v>
      </c>
      <c r="F9" s="8" t="s">
        <v>39</v>
      </c>
      <c r="G9" s="11" t="str">
        <f aca="false">HYPERLINK("https://www.youtube.com/watch?v=iud7fzXPJUs&amp;list=PLwdnzlV3ogoXkmlIyZceK111IMjCgS-b7","Open playlist")</f>
        <v>Open playlist</v>
      </c>
      <c r="H9" s="8" t="s">
        <v>241</v>
      </c>
    </row>
    <row r="10" customFormat="false" ht="102.2" hidden="false" customHeight="false" outlineLevel="0" collapsed="false">
      <c r="A10" s="9" t="s">
        <v>242</v>
      </c>
      <c r="B10" s="9" t="s">
        <v>243</v>
      </c>
      <c r="C10" s="9" t="s">
        <v>215</v>
      </c>
      <c r="D10" s="9" t="s">
        <v>117</v>
      </c>
      <c r="E10" s="9" t="s">
        <v>4</v>
      </c>
      <c r="F10" s="9" t="s">
        <v>39</v>
      </c>
      <c r="G10" s="10" t="str">
        <f aca="false">HYPERLINK("https://youtube.com/playlist?list=PL_yoT1uNIKb5ECZhofT0WNdLYyw9gEhNA","Open playlist")</f>
        <v>Open playlist</v>
      </c>
      <c r="H10" s="9" t="s">
        <v>244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79.85" hidden="false" customHeight="false" outlineLevel="0" collapsed="false">
      <c r="A2" s="9" t="s">
        <v>245</v>
      </c>
      <c r="B2" s="9" t="s">
        <v>246</v>
      </c>
      <c r="C2" s="9" t="s">
        <v>247</v>
      </c>
      <c r="D2" s="9" t="s">
        <v>34</v>
      </c>
      <c r="E2" s="9" t="s">
        <v>4</v>
      </c>
      <c r="F2" s="9" t="s">
        <v>39</v>
      </c>
      <c r="G2" s="10" t="str">
        <f aca="false">HYPERLINK("https://youtube.com/playlist?list=PL_yoT1uNIKb5E9MThE7H010wXXqZCrRPl","Open playlist")</f>
        <v>Open playlist</v>
      </c>
      <c r="H2" s="9" t="s">
        <v>248</v>
      </c>
    </row>
    <row r="3" customFormat="false" ht="79.85" hidden="false" customHeight="false" outlineLevel="0" collapsed="false">
      <c r="A3" s="8" t="s">
        <v>245</v>
      </c>
      <c r="B3" s="8" t="s">
        <v>249</v>
      </c>
      <c r="C3" s="8" t="s">
        <v>247</v>
      </c>
      <c r="D3" s="8" t="s">
        <v>34</v>
      </c>
      <c r="E3" s="8" t="s">
        <v>250</v>
      </c>
      <c r="F3" s="8" t="s">
        <v>39</v>
      </c>
      <c r="G3" s="11" t="str">
        <f aca="false">HYPERLINK("https://www.youtube.com/watch?v=g7vYop_46tU&amp;list=PL708EEA8184EA8F53","Open playlist")</f>
        <v>Open playlist</v>
      </c>
      <c r="H3" s="8" t="s">
        <v>251</v>
      </c>
    </row>
    <row r="4" customFormat="false" ht="79.85" hidden="false" customHeight="false" outlineLevel="0" collapsed="false">
      <c r="A4" s="9" t="s">
        <v>252</v>
      </c>
      <c r="B4" s="9" t="s">
        <v>253</v>
      </c>
      <c r="C4" s="9" t="s">
        <v>254</v>
      </c>
      <c r="D4" s="9" t="s">
        <v>34</v>
      </c>
      <c r="E4" s="9" t="s">
        <v>4</v>
      </c>
      <c r="F4" s="9" t="s">
        <v>39</v>
      </c>
      <c r="G4" s="10" t="str">
        <f aca="false">HYPERLINK("https://youtube.com/playlist?list=PL_yoT1uNIKb5E9MThE7H010wXXqZCrRPl","Open playlist")</f>
        <v>Open playlist</v>
      </c>
      <c r="H4" s="9" t="s">
        <v>255</v>
      </c>
    </row>
    <row r="5" customFormat="false" ht="91" hidden="false" customHeight="false" outlineLevel="0" collapsed="false">
      <c r="A5" s="8" t="s">
        <v>252</v>
      </c>
      <c r="B5" s="8" t="s">
        <v>256</v>
      </c>
      <c r="C5" s="8" t="s">
        <v>254</v>
      </c>
      <c r="D5" s="8" t="s">
        <v>34</v>
      </c>
      <c r="E5" s="8" t="s">
        <v>250</v>
      </c>
      <c r="F5" s="8" t="s">
        <v>39</v>
      </c>
      <c r="G5" s="11" t="str">
        <f aca="false">HYPERLINK("https://www.youtube.com/watch?v=g7vYop_46tU&amp;list=PL708EEA8184EA8F53","Open playlist")</f>
        <v>Open playlist</v>
      </c>
      <c r="H5" s="8" t="s">
        <v>257</v>
      </c>
    </row>
    <row r="6" customFormat="false" ht="91" hidden="false" customHeight="false" outlineLevel="0" collapsed="false">
      <c r="A6" s="9" t="s">
        <v>258</v>
      </c>
      <c r="B6" s="9" t="s">
        <v>259</v>
      </c>
      <c r="C6" s="9" t="s">
        <v>80</v>
      </c>
      <c r="D6" s="9" t="s">
        <v>81</v>
      </c>
      <c r="E6" s="9" t="s">
        <v>4</v>
      </c>
      <c r="F6" s="9" t="s">
        <v>39</v>
      </c>
      <c r="G6" s="10" t="str">
        <f aca="false">HYPERLINK("https://youtube.com/playlist?list=PL_yoT1uNIKb5E9MThE7H010wXXqZCrRPl","Open playlist")</f>
        <v>Open playlist</v>
      </c>
      <c r="H6" s="9" t="s">
        <v>260</v>
      </c>
    </row>
    <row r="7" customFormat="false" ht="79.85" hidden="false" customHeight="false" outlineLevel="0" collapsed="false">
      <c r="A7" s="8" t="s">
        <v>258</v>
      </c>
      <c r="B7" s="8" t="s">
        <v>261</v>
      </c>
      <c r="C7" s="8" t="s">
        <v>80</v>
      </c>
      <c r="D7" s="8" t="s">
        <v>81</v>
      </c>
      <c r="E7" s="8" t="s">
        <v>250</v>
      </c>
      <c r="F7" s="8" t="s">
        <v>39</v>
      </c>
      <c r="G7" s="11" t="str">
        <f aca="false">HYPERLINK("https://www.youtube.com/watch?v=g7vYop_46tU&amp;list=PL708EEA8184EA8F53","Open playlist")</f>
        <v>Open playlist</v>
      </c>
      <c r="H7" s="8" t="s">
        <v>262</v>
      </c>
    </row>
    <row r="8" customFormat="false" ht="113.4" hidden="false" customHeight="false" outlineLevel="0" collapsed="false">
      <c r="A8" s="8" t="s">
        <v>263</v>
      </c>
      <c r="B8" s="8" t="s">
        <v>264</v>
      </c>
      <c r="C8" s="8" t="s">
        <v>85</v>
      </c>
      <c r="D8" s="8" t="s">
        <v>52</v>
      </c>
      <c r="E8" s="8" t="s">
        <v>265</v>
      </c>
      <c r="F8" s="8" t="s">
        <v>39</v>
      </c>
      <c r="G8" s="11" t="str">
        <f aca="false">HYPERLINK("https://www.youtube.com/watch?v=m6E1NN4A-9s&amp;list=PLbRMhDVUMngcHCX4U7syOHOmnMW7f3Z2g","Open playlist")</f>
        <v>Open playlist</v>
      </c>
      <c r="H8" s="8"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91" hidden="false" customHeight="false" outlineLevel="0" collapsed="false">
      <c r="A2" s="8" t="s">
        <v>267</v>
      </c>
      <c r="B2" s="8" t="s">
        <v>268</v>
      </c>
      <c r="C2" s="8" t="s">
        <v>269</v>
      </c>
      <c r="D2" s="8" t="s">
        <v>34</v>
      </c>
      <c r="E2" s="8" t="s">
        <v>265</v>
      </c>
      <c r="F2" s="8" t="s">
        <v>39</v>
      </c>
      <c r="G2" s="11" t="str">
        <f aca="false">HYPERLINK("https://www.youtube.com/watch?v=SCmtEhGVhSM&amp;list=PLupNYX6-k9ggRRmDqV9hxY1p4dC-QGrg7","Open playlist")</f>
        <v>Open playlist</v>
      </c>
      <c r="H2" s="8" t="s">
        <v>270</v>
      </c>
    </row>
    <row r="3" customFormat="false" ht="91" hidden="false" customHeight="false" outlineLevel="0" collapsed="false">
      <c r="A3" s="8" t="s">
        <v>271</v>
      </c>
      <c r="B3" s="8" t="s">
        <v>272</v>
      </c>
      <c r="C3" s="8" t="s">
        <v>155</v>
      </c>
      <c r="D3" s="8" t="s">
        <v>81</v>
      </c>
      <c r="E3" s="8" t="s">
        <v>265</v>
      </c>
      <c r="F3" s="8" t="s">
        <v>39</v>
      </c>
      <c r="G3" s="11" t="str">
        <f aca="false">HYPERLINK("https://www.youtube.com/watch?v=SCmtEhGVhSM&amp;list=PLupNYX6-k9ggRRmDqV9hxY1p4dC-QGrg7","Open playlist")</f>
        <v>Open playlist</v>
      </c>
      <c r="H3" s="8"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91" hidden="false" customHeight="false" outlineLevel="0" collapsed="false">
      <c r="A2" s="8" t="s">
        <v>274</v>
      </c>
      <c r="B2" s="8" t="s">
        <v>275</v>
      </c>
      <c r="C2" s="8" t="s">
        <v>276</v>
      </c>
      <c r="D2" s="8" t="s">
        <v>34</v>
      </c>
      <c r="E2" s="8" t="s">
        <v>265</v>
      </c>
      <c r="F2" s="8" t="s">
        <v>39</v>
      </c>
      <c r="G2" s="11" t="str">
        <f aca="false">HYPERLINK("https://www.youtube.com/watch?v=Ofzd2ZqFvjo&amp;list=PLADLRin7kNjG1Dlna9MDA53CMKFHPSi9m","Open playlist")</f>
        <v>Open playlist</v>
      </c>
      <c r="H2" s="8" t="s">
        <v>277</v>
      </c>
    </row>
    <row r="3" customFormat="false" ht="102.2" hidden="false" customHeight="false" outlineLevel="0" collapsed="false">
      <c r="A3" s="8" t="s">
        <v>278</v>
      </c>
      <c r="B3" s="8" t="s">
        <v>279</v>
      </c>
      <c r="C3" s="8" t="s">
        <v>155</v>
      </c>
      <c r="D3" s="8" t="s">
        <v>81</v>
      </c>
      <c r="E3" s="8" t="s">
        <v>265</v>
      </c>
      <c r="F3" s="8" t="s">
        <v>39</v>
      </c>
      <c r="G3" s="11" t="str">
        <f aca="false">HYPERLINK("https://www.youtube.com/watch?v=Ofzd2ZqFvjo&amp;list=PLADLRin7kNjG1Dlna9MDA53CMKFHPSi9m","Open playlist")</f>
        <v>Open playlist</v>
      </c>
      <c r="H3" s="8" t="s">
        <v>280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3" min="3" style="0" width="18"/>
    <col collapsed="false" customWidth="true" hidden="false" outlineLevel="0" max="4" min="4" style="0" width="11"/>
    <col collapsed="false" customWidth="true" hidden="false" outlineLevel="0" max="5" min="5" style="0" width="24"/>
    <col collapsed="false" customWidth="true" hidden="false" outlineLevel="0" max="7" min="6" style="0" width="15"/>
    <col collapsed="false" customWidth="true" hidden="false" outlineLevel="0" max="8" min="8" style="0" width="62"/>
  </cols>
  <sheetData>
    <row r="1" customFormat="false" ht="30" hidden="false" customHeight="true" outlineLevel="0" collapsed="false">
      <c r="A1" s="7" t="s">
        <v>23</v>
      </c>
      <c r="B1" s="7" t="s">
        <v>24</v>
      </c>
      <c r="C1" s="7" t="s">
        <v>25</v>
      </c>
      <c r="D1" s="7" t="s">
        <v>26</v>
      </c>
      <c r="E1" s="7" t="s">
        <v>27</v>
      </c>
      <c r="F1" s="7" t="s">
        <v>28</v>
      </c>
      <c r="G1" s="7" t="s">
        <v>29</v>
      </c>
      <c r="H1" s="7" t="s">
        <v>30</v>
      </c>
    </row>
    <row r="2" customFormat="false" ht="91" hidden="false" customHeight="false" outlineLevel="0" collapsed="false">
      <c r="A2" s="8" t="s">
        <v>281</v>
      </c>
      <c r="B2" s="8" t="s">
        <v>282</v>
      </c>
      <c r="C2" s="8" t="s">
        <v>283</v>
      </c>
      <c r="D2" s="8" t="s">
        <v>34</v>
      </c>
      <c r="E2" s="8" t="s">
        <v>284</v>
      </c>
      <c r="F2" s="8" t="s">
        <v>39</v>
      </c>
      <c r="G2" s="11" t="str">
        <f aca="false">HYPERLINK("https://www.youtube.com/watch?v=H7OipY8RzX0&amp;list=PL0b6maW-5d1fvnUXykaaD0JPjEB0pTDF9","Open playlist")</f>
        <v>Open playlist</v>
      </c>
      <c r="H2" s="8" t="s">
        <v>285</v>
      </c>
    </row>
    <row r="3" customFormat="false" ht="79.85" hidden="false" customHeight="false" outlineLevel="0" collapsed="false">
      <c r="A3" s="8" t="s">
        <v>286</v>
      </c>
      <c r="B3" s="8" t="s">
        <v>287</v>
      </c>
      <c r="C3" s="8" t="s">
        <v>80</v>
      </c>
      <c r="D3" s="8" t="s">
        <v>81</v>
      </c>
      <c r="E3" s="8" t="s">
        <v>284</v>
      </c>
      <c r="F3" s="8" t="s">
        <v>39</v>
      </c>
      <c r="G3" s="11" t="str">
        <f aca="false">HYPERLINK("https://www.youtube.com/watch?v=H7OipY8RzX0&amp;list=PL0b6maW-5d1fvnUXykaaD0JPjEB0pTDF9","Open playlist")</f>
        <v>Open playlist</v>
      </c>
      <c r="H3" s="8" t="s">
        <v>288</v>
      </c>
    </row>
    <row r="4" customFormat="false" ht="102.2" hidden="false" customHeight="false" outlineLevel="0" collapsed="false">
      <c r="A4" s="8" t="s">
        <v>289</v>
      </c>
      <c r="B4" s="8" t="s">
        <v>290</v>
      </c>
      <c r="C4" s="8" t="s">
        <v>215</v>
      </c>
      <c r="D4" s="8" t="s">
        <v>117</v>
      </c>
      <c r="E4" s="8" t="s">
        <v>284</v>
      </c>
      <c r="F4" s="8" t="s">
        <v>39</v>
      </c>
      <c r="G4" s="11" t="str">
        <f aca="false">HYPERLINK("https://www.youtube.com/watch?v=H7OipY8RzX0&amp;list=PL0b6maW-5d1fvnUXykaaD0JPjEB0pTDF9","Open playlist")</f>
        <v>Open playlist</v>
      </c>
      <c r="H4" s="8"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2026-08-18T09:02:11Z</dcterms:created>
  <dc:creator>openpyxl</dc:creator>
  <dc:description/>
  <dc:language>en-US</dc:language>
  <cp:lastModifiedBy/>
  <dcterms:modified xsi:type="dcterms:W3CDTF">2026-08-18T09:02:11Z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